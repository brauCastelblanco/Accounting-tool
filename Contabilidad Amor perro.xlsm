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braulio.castelblanco\Desktop\"/>
    </mc:Choice>
  </mc:AlternateContent>
  <bookViews>
    <workbookView xWindow="0" yWindow="0" windowWidth="23040" windowHeight="9096" firstSheet="4" activeTab="7"/>
  </bookViews>
  <sheets>
    <sheet name="datatypes" sheetId="6" state="hidden" r:id="rId1"/>
    <sheet name="analitics" sheetId="9" state="hidden" r:id="rId2"/>
    <sheet name="analitics (monthly)" sheetId="20" state="hidden" r:id="rId3"/>
    <sheet name="otros" sheetId="10" state="hidden" r:id="rId4"/>
    <sheet name="Ingresos" sheetId="5" r:id="rId5"/>
    <sheet name="MES" sheetId="21" state="hidden" r:id="rId6"/>
    <sheet name="Comercial" sheetId="11" r:id="rId7"/>
    <sheet name="Finanzas" sheetId="22" r:id="rId8"/>
    <sheet name="Income" sheetId="8" state="hidden" r:id="rId9"/>
    <sheet name="Stock" sheetId="7" state="hidden" r:id="rId10"/>
  </sheets>
  <definedNames>
    <definedName name="_xlnm._FilterDatabase" localSheetId="8" hidden="1">Income!$A$1:$G$49</definedName>
    <definedName name="_xlnm._FilterDatabase" localSheetId="3" hidden="1">otros!$A$1:$E$37</definedName>
    <definedName name="_xlnm._FilterDatabase" localSheetId="9" hidden="1">Stock!$A$1:$F$37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0" l="1"/>
  <c r="G6" i="8"/>
  <c r="F6" i="8"/>
  <c r="G5" i="8"/>
  <c r="F5" i="8"/>
  <c r="G4" i="8"/>
  <c r="F4" i="8"/>
  <c r="G3" i="8"/>
  <c r="F3" i="8"/>
  <c r="J33" i="11" l="1"/>
  <c r="H33" i="11"/>
  <c r="G13" i="8"/>
  <c r="F13" i="8"/>
  <c r="G12" i="8"/>
  <c r="F12" i="8"/>
  <c r="G11" i="8"/>
  <c r="F11" i="8"/>
  <c r="G10" i="8"/>
  <c r="F10" i="8"/>
  <c r="G9" i="8"/>
  <c r="F9" i="8"/>
  <c r="G8" i="8"/>
  <c r="F8" i="8"/>
  <c r="G7" i="8"/>
  <c r="F7" i="8"/>
  <c r="P31" i="11" a="1"/>
  <c r="P31" i="11" s="1"/>
  <c r="P32" i="11" s="1" a="1"/>
  <c r="P32" i="11" s="1"/>
  <c r="L32" i="11" a="1"/>
  <c r="L32" i="11" s="1"/>
  <c r="G32" i="11" a="1"/>
  <c r="G32" i="11" s="1"/>
  <c r="H32" i="11"/>
  <c r="I32" i="11"/>
  <c r="J32" i="11"/>
  <c r="A32" i="11" a="1"/>
  <c r="A32" i="11" s="1"/>
  <c r="G3" i="7"/>
  <c r="F3" i="7"/>
  <c r="G7" i="7"/>
  <c r="F7" i="7"/>
  <c r="G6" i="7"/>
  <c r="F6" i="7"/>
  <c r="G5" i="7"/>
  <c r="F5" i="7"/>
  <c r="G4" i="7"/>
  <c r="F4" i="7"/>
  <c r="G19" i="8" l="1"/>
  <c r="F19" i="8"/>
  <c r="G18" i="8"/>
  <c r="F18" i="8"/>
  <c r="G17" i="8"/>
  <c r="F17" i="8"/>
  <c r="G16" i="8"/>
  <c r="F16" i="8"/>
  <c r="G15" i="8"/>
  <c r="F15" i="8"/>
  <c r="G14" i="8"/>
  <c r="F14" i="8"/>
  <c r="P6" i="5"/>
  <c r="G20" i="8" l="1"/>
  <c r="F20" i="8"/>
  <c r="F5" i="10"/>
  <c r="F4" i="10"/>
  <c r="G23" i="8"/>
  <c r="F23" i="8"/>
  <c r="G22" i="8"/>
  <c r="F22" i="8"/>
  <c r="G21" i="8"/>
  <c r="F21" i="8"/>
  <c r="G9" i="7"/>
  <c r="F9" i="7"/>
  <c r="G8" i="7"/>
  <c r="F8" i="7"/>
  <c r="G18" i="7"/>
  <c r="F18" i="7"/>
  <c r="G17" i="7"/>
  <c r="F17" i="7"/>
  <c r="G16" i="7"/>
  <c r="F16" i="7"/>
  <c r="G15" i="7"/>
  <c r="F15" i="7"/>
  <c r="G14" i="7"/>
  <c r="F14" i="7"/>
  <c r="G13" i="7"/>
  <c r="F13" i="7"/>
  <c r="G12" i="7"/>
  <c r="F12" i="7"/>
  <c r="G11" i="7"/>
  <c r="F11" i="7"/>
  <c r="G10" i="7"/>
  <c r="F10" i="7"/>
  <c r="G35" i="8"/>
  <c r="F35" i="8"/>
  <c r="G34" i="8"/>
  <c r="F34" i="8"/>
  <c r="G33" i="8"/>
  <c r="F33" i="8"/>
  <c r="G32" i="8"/>
  <c r="F32" i="8"/>
  <c r="G31" i="8"/>
  <c r="F31" i="8"/>
  <c r="G30" i="8"/>
  <c r="F30" i="8"/>
  <c r="G29" i="8"/>
  <c r="F29" i="8"/>
  <c r="G28" i="8"/>
  <c r="F28" i="8"/>
  <c r="G27" i="8"/>
  <c r="F27" i="8"/>
  <c r="G26" i="8"/>
  <c r="F26" i="8"/>
  <c r="G25" i="8"/>
  <c r="F25" i="8"/>
  <c r="G24" i="8"/>
  <c r="F24" i="8"/>
  <c r="G21" i="7"/>
  <c r="F21" i="7"/>
  <c r="G20" i="7"/>
  <c r="F20" i="7"/>
  <c r="G19" i="7"/>
  <c r="F19" i="7"/>
  <c r="B13" i="9" l="1"/>
  <c r="K22" i="22"/>
  <c r="G49" i="8"/>
  <c r="F49" i="8"/>
  <c r="G48" i="8"/>
  <c r="F48" i="8"/>
  <c r="G47" i="8"/>
  <c r="F47" i="8"/>
  <c r="G46" i="8"/>
  <c r="F46" i="8"/>
  <c r="G45" i="8"/>
  <c r="F45" i="8"/>
  <c r="G44" i="8"/>
  <c r="F44" i="8"/>
  <c r="G43" i="8"/>
  <c r="F43" i="8"/>
  <c r="G42" i="8"/>
  <c r="F42" i="8"/>
  <c r="G41" i="8"/>
  <c r="F41" i="8"/>
  <c r="G40" i="8"/>
  <c r="F40" i="8"/>
  <c r="G39" i="8"/>
  <c r="F39" i="8"/>
  <c r="G38" i="8"/>
  <c r="F38" i="8"/>
  <c r="G37" i="8"/>
  <c r="F37" i="8"/>
  <c r="G36" i="8"/>
  <c r="F36" i="8"/>
  <c r="G22" i="7"/>
  <c r="F22" i="7"/>
  <c r="G37" i="7"/>
  <c r="F37" i="7"/>
  <c r="G36" i="7"/>
  <c r="F36" i="7"/>
  <c r="G35" i="7"/>
  <c r="F35" i="7"/>
  <c r="G34" i="7"/>
  <c r="F34" i="7"/>
  <c r="G33" i="7"/>
  <c r="F33" i="7"/>
  <c r="G32" i="7"/>
  <c r="F32" i="7"/>
  <c r="G31" i="7"/>
  <c r="F31" i="7"/>
  <c r="G30" i="7"/>
  <c r="F30" i="7"/>
  <c r="G29" i="7"/>
  <c r="F29" i="7"/>
  <c r="G28" i="7"/>
  <c r="F28" i="7"/>
  <c r="G27" i="7"/>
  <c r="F27" i="7"/>
  <c r="G26" i="7"/>
  <c r="F26" i="7"/>
  <c r="G25" i="7"/>
  <c r="F25" i="7"/>
  <c r="G24" i="7"/>
  <c r="F24" i="7"/>
  <c r="G23" i="7"/>
  <c r="F23" i="7"/>
  <c r="P5" i="11" a="1"/>
  <c r="P5" i="11" s="1"/>
  <c r="P6" i="11" s="1" a="1"/>
  <c r="P6" i="11" s="1"/>
  <c r="L5" i="11" a="1"/>
  <c r="L5" i="11" s="1"/>
  <c r="G5" i="11" a="1"/>
  <c r="G5" i="11" s="1"/>
  <c r="A5" i="11" a="1"/>
  <c r="A5" i="11" s="1"/>
  <c r="G5" i="9" a="1"/>
  <c r="G5" i="9" s="1"/>
  <c r="K17" i="22"/>
  <c r="BA5" i="9" a="1"/>
  <c r="BA5" i="9" s="1"/>
  <c r="BA6" i="9" s="1" a="1"/>
  <c r="BA6" i="9" s="1"/>
  <c r="AN5" i="9" a="1"/>
  <c r="AN5" i="9" s="1"/>
  <c r="AO5" i="9" s="1"/>
  <c r="O5" i="9" s="1"/>
  <c r="AV5" i="9" a="1"/>
  <c r="AV5" i="9" s="1"/>
  <c r="AV6" i="9" s="1" a="1"/>
  <c r="AV6" i="9" s="1"/>
  <c r="AC5" i="9" a="1"/>
  <c r="AC5" i="9" s="1"/>
  <c r="AC6" i="9" s="1" a="1"/>
  <c r="AC6" i="9" s="1"/>
  <c r="AD6" i="9" s="1"/>
  <c r="V5" i="9" a="1"/>
  <c r="V5" i="9" s="1"/>
  <c r="N5" i="9" a="1"/>
  <c r="N5" i="9" s="1"/>
  <c r="AC7" i="9" l="1" a="1"/>
  <c r="AC7" i="9" s="1"/>
  <c r="AD7" i="9" s="1"/>
  <c r="N6" i="9" a="1"/>
  <c r="N6" i="9" s="1"/>
  <c r="AC8" i="9" a="1"/>
  <c r="AC8" i="9" s="1"/>
  <c r="AD8" i="9" s="1"/>
  <c r="H3" i="9"/>
  <c r="B16" i="22" s="1"/>
  <c r="G6" i="11" a="1"/>
  <c r="G6" i="11" s="1"/>
  <c r="G7" i="11" s="1" a="1"/>
  <c r="G7" i="11" s="1"/>
  <c r="L6" i="11" a="1"/>
  <c r="L6" i="11" s="1"/>
  <c r="AD3" i="9"/>
  <c r="P7" i="11" a="1"/>
  <c r="P7" i="11" s="1"/>
  <c r="L7" i="11" a="1"/>
  <c r="L7" i="11" s="1"/>
  <c r="A6" i="11" a="1"/>
  <c r="A6" i="11" s="1"/>
  <c r="AN7" i="9" a="1"/>
  <c r="AN7" i="9" s="1"/>
  <c r="AN6" i="9" a="1"/>
  <c r="AN6" i="9" s="1"/>
  <c r="BA7" i="9" a="1"/>
  <c r="BA7" i="9" s="1"/>
  <c r="BA8" i="9" s="1" a="1"/>
  <c r="BA8" i="9" s="1"/>
  <c r="AV7" i="9" a="1"/>
  <c r="AV7" i="9" s="1"/>
  <c r="AV8" i="9" s="1" a="1"/>
  <c r="AV8" i="9" s="1"/>
  <c r="V6" i="9" a="1"/>
  <c r="V6" i="9" s="1"/>
  <c r="N7" i="9" a="1"/>
  <c r="N7" i="9" s="1"/>
  <c r="N8" i="9" s="1" a="1"/>
  <c r="N8" i="9" s="1"/>
  <c r="G6" i="9" a="1"/>
  <c r="G6" i="9" s="1"/>
  <c r="G7" i="9" s="1" a="1"/>
  <c r="G7" i="9" s="1"/>
  <c r="H5" i="9"/>
  <c r="AC9" i="9" l="1" a="1"/>
  <c r="AC9" i="9" s="1"/>
  <c r="P8" i="11" a="1"/>
  <c r="P8" i="11" s="1"/>
  <c r="L8" i="11" a="1"/>
  <c r="L8" i="11" s="1"/>
  <c r="G8" i="11" a="1"/>
  <c r="G8" i="11" s="1"/>
  <c r="A7" i="11" a="1"/>
  <c r="A7" i="11" s="1"/>
  <c r="AN8" i="9" a="1"/>
  <c r="AN8" i="9" s="1"/>
  <c r="AV9" i="9" a="1"/>
  <c r="AV9" i="9" s="1"/>
  <c r="AV10" i="9" s="1" a="1"/>
  <c r="AV10" i="9" s="1"/>
  <c r="AV11" i="9" s="1" a="1"/>
  <c r="AV11" i="9" s="1"/>
  <c r="AV12" i="9" s="1" a="1"/>
  <c r="AV12" i="9" s="1"/>
  <c r="AW5" i="9"/>
  <c r="AZ5" i="9"/>
  <c r="BA9" i="9" a="1"/>
  <c r="BA9" i="9" s="1"/>
  <c r="V7" i="9" a="1"/>
  <c r="V7" i="9" s="1"/>
  <c r="N9" i="9" a="1"/>
  <c r="N9" i="9" s="1"/>
  <c r="G8" i="9" a="1"/>
  <c r="G8" i="9" s="1"/>
  <c r="G9" i="9" s="1" a="1"/>
  <c r="G9" i="9" s="1"/>
  <c r="AD9" i="9" l="1"/>
  <c r="AC10" i="9" a="1"/>
  <c r="AC10" i="9" s="1"/>
  <c r="P9" i="11" a="1"/>
  <c r="P9" i="11" s="1"/>
  <c r="L9" i="11" a="1"/>
  <c r="L9" i="11" s="1"/>
  <c r="G9" i="11" a="1"/>
  <c r="G9" i="11" s="1"/>
  <c r="A8" i="11" a="1"/>
  <c r="A8" i="11" s="1"/>
  <c r="AN9" i="9" a="1"/>
  <c r="AN9" i="9" s="1"/>
  <c r="BA10" i="9" a="1"/>
  <c r="BA10" i="9" s="1"/>
  <c r="AV13" i="9" a="1"/>
  <c r="AV13" i="9" s="1"/>
  <c r="AV14" i="9" s="1" a="1"/>
  <c r="AV14" i="9" s="1"/>
  <c r="AE8" i="9"/>
  <c r="V8" i="9" a="1"/>
  <c r="V8" i="9" s="1"/>
  <c r="V9" i="9" s="1" a="1"/>
  <c r="V9" i="9" s="1"/>
  <c r="N10" i="9" a="1"/>
  <c r="N10" i="9" s="1"/>
  <c r="N11" i="9" s="1" a="1"/>
  <c r="N11" i="9" s="1"/>
  <c r="G10" i="9" a="1"/>
  <c r="G10" i="9" s="1"/>
  <c r="AD10" i="9" l="1"/>
  <c r="AC11" i="9" a="1"/>
  <c r="AC11" i="9" s="1"/>
  <c r="AD11" i="9" s="1"/>
  <c r="P10" i="11" a="1"/>
  <c r="P10" i="11" s="1"/>
  <c r="L10" i="11" a="1"/>
  <c r="L10" i="11" s="1"/>
  <c r="G10" i="11" a="1"/>
  <c r="G10" i="11" s="1"/>
  <c r="A9" i="11" a="1"/>
  <c r="A9" i="11" s="1"/>
  <c r="A10" i="11" s="1" a="1"/>
  <c r="A10" i="11" s="1"/>
  <c r="AN10" i="9" a="1"/>
  <c r="AN10" i="9" s="1"/>
  <c r="BA11" i="9" a="1"/>
  <c r="BA11" i="9" s="1"/>
  <c r="BA12" i="9" s="1" a="1"/>
  <c r="BA12" i="9" s="1"/>
  <c r="AV15" i="9" a="1"/>
  <c r="AV15" i="9" s="1"/>
  <c r="AV16" i="9" s="1" a="1"/>
  <c r="AV16" i="9" s="1"/>
  <c r="V10" i="9" a="1"/>
  <c r="V10" i="9" s="1"/>
  <c r="V11" i="9" s="1" a="1"/>
  <c r="V11" i="9" s="1"/>
  <c r="N12" i="9" a="1"/>
  <c r="N12" i="9" s="1"/>
  <c r="G11" i="9" a="1"/>
  <c r="G11" i="9" s="1"/>
  <c r="AC12" i="9" l="1" a="1"/>
  <c r="AC12" i="9" s="1"/>
  <c r="AD12" i="9" s="1"/>
  <c r="P11" i="11" a="1"/>
  <c r="P11" i="11" s="1"/>
  <c r="L11" i="11" a="1"/>
  <c r="L11" i="11" s="1"/>
  <c r="L12" i="11" s="1" a="1"/>
  <c r="L12" i="11" s="1"/>
  <c r="G11" i="11" a="1"/>
  <c r="G11" i="11" s="1"/>
  <c r="G12" i="11" s="1" a="1"/>
  <c r="G12" i="11" s="1"/>
  <c r="G13" i="11" s="1" a="1"/>
  <c r="G13" i="11" s="1"/>
  <c r="G14" i="11" s="1" a="1"/>
  <c r="G14" i="11" s="1"/>
  <c r="A11" i="11" a="1"/>
  <c r="A11" i="11" s="1"/>
  <c r="A12" i="11" s="1" a="1"/>
  <c r="A12" i="11" s="1"/>
  <c r="A13" i="11" s="1" a="1"/>
  <c r="A13" i="11" s="1"/>
  <c r="AN11" i="9" a="1"/>
  <c r="AN11" i="9" s="1"/>
  <c r="BA13" i="9" a="1"/>
  <c r="BA13" i="9" s="1"/>
  <c r="AV17" i="9" a="1"/>
  <c r="AV17" i="9" s="1"/>
  <c r="AN12" i="9" a="1"/>
  <c r="AN12" i="9" s="1"/>
  <c r="V12" i="9" a="1"/>
  <c r="V12" i="9" s="1"/>
  <c r="V13" i="9" s="1" a="1"/>
  <c r="V13" i="9" s="1"/>
  <c r="V14" i="9" s="1" a="1"/>
  <c r="V14" i="9" s="1"/>
  <c r="N13" i="9" a="1"/>
  <c r="N13" i="9" s="1"/>
  <c r="G12" i="9" a="1"/>
  <c r="G12" i="9" s="1"/>
  <c r="I3" i="9"/>
  <c r="AC13" i="9" l="1" a="1"/>
  <c r="AC13" i="9" s="1"/>
  <c r="P12" i="11" a="1"/>
  <c r="P12" i="11" s="1"/>
  <c r="L13" i="11" a="1"/>
  <c r="L13" i="11" s="1"/>
  <c r="L14" i="11" s="1" a="1"/>
  <c r="L14" i="11" s="1"/>
  <c r="L15" i="11" s="1" a="1"/>
  <c r="L15" i="11" s="1"/>
  <c r="L16" i="11" s="1" a="1"/>
  <c r="L16" i="11" s="1"/>
  <c r="L17" i="11" s="1" a="1"/>
  <c r="L17" i="11" s="1"/>
  <c r="L18" i="11" s="1" a="1"/>
  <c r="L18" i="11" s="1"/>
  <c r="L19" i="11" s="1" a="1"/>
  <c r="L19" i="11" s="1"/>
  <c r="G15" i="1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A14" i="11" a="1"/>
  <c r="A14" i="11" s="1"/>
  <c r="AO12" i="9"/>
  <c r="O12" i="9" s="1"/>
  <c r="AP12" i="9"/>
  <c r="BA14" i="9" a="1"/>
  <c r="BA14" i="9" s="1"/>
  <c r="AV18" i="9" a="1"/>
  <c r="AV18" i="9" s="1"/>
  <c r="AE11" i="9"/>
  <c r="AN13" i="9" a="1"/>
  <c r="AN13" i="9" s="1"/>
  <c r="V15" i="9" a="1"/>
  <c r="V15" i="9" s="1"/>
  <c r="N14" i="9" a="1"/>
  <c r="N14" i="9" s="1"/>
  <c r="I12" i="9"/>
  <c r="B12" i="11" s="1"/>
  <c r="H12" i="9"/>
  <c r="G13" i="9" a="1"/>
  <c r="G13" i="9" s="1"/>
  <c r="O6" i="5"/>
  <c r="AO9" i="9"/>
  <c r="O9" i="9" s="1"/>
  <c r="O7" i="5"/>
  <c r="C22" i="9"/>
  <c r="C21" i="9"/>
  <c r="B22" i="9"/>
  <c r="AD13" i="9" l="1"/>
  <c r="AC14" i="9" a="1"/>
  <c r="AC14" i="9" s="1"/>
  <c r="G28" i="11" a="1"/>
  <c r="G28" i="11" s="1"/>
  <c r="G29" i="11" s="1" a="1"/>
  <c r="G29" i="11" s="1"/>
  <c r="G30" i="11" s="1" a="1"/>
  <c r="G30" i="11" s="1"/>
  <c r="G31" i="11" s="1" a="1"/>
  <c r="G31" i="11" s="1"/>
  <c r="AQ12" i="9"/>
  <c r="M12" i="11" s="1"/>
  <c r="P13" i="11" a="1"/>
  <c r="P13" i="11" s="1"/>
  <c r="P14" i="11" s="1" a="1"/>
  <c r="P14" i="11" s="1"/>
  <c r="P15" i="11" s="1" a="1"/>
  <c r="P15" i="11" s="1"/>
  <c r="P16" i="11" s="1" a="1"/>
  <c r="P16" i="11" s="1"/>
  <c r="P17" i="11" s="1" a="1"/>
  <c r="P17" i="11" s="1"/>
  <c r="P18" i="11" s="1" a="1"/>
  <c r="P18" i="11" s="1"/>
  <c r="P19" i="11" s="1" a="1"/>
  <c r="P19" i="11" s="1"/>
  <c r="P20" i="11" s="1" a="1"/>
  <c r="P20" i="11" s="1"/>
  <c r="P21" i="11" s="1" a="1"/>
  <c r="P21" i="11" s="1"/>
  <c r="P22" i="11" s="1" a="1"/>
  <c r="P22" i="11" s="1"/>
  <c r="P23" i="11" s="1" a="1"/>
  <c r="P23" i="11" s="1"/>
  <c r="L20" i="11" a="1"/>
  <c r="L20" i="11" s="1"/>
  <c r="L21" i="11" s="1" a="1"/>
  <c r="L21" i="11" s="1"/>
  <c r="L22" i="11" s="1" a="1"/>
  <c r="L22" i="11" s="1"/>
  <c r="L23" i="11" s="1" a="1"/>
  <c r="L23" i="11" s="1"/>
  <c r="L24" i="11" s="1" a="1"/>
  <c r="L24" i="11" s="1"/>
  <c r="L25" i="11" s="1" a="1"/>
  <c r="L25" i="11" s="1"/>
  <c r="L26" i="11" s="1" a="1"/>
  <c r="L26" i="11" s="1"/>
  <c r="L27" i="11" s="1" a="1"/>
  <c r="L27" i="11" s="1"/>
  <c r="L28" i="11" s="1" a="1"/>
  <c r="L28" i="11" s="1"/>
  <c r="L29" i="11" s="1" a="1"/>
  <c r="L29" i="11" s="1"/>
  <c r="L30" i="11" s="1" a="1"/>
  <c r="L30" i="11" s="1"/>
  <c r="L31" i="11" s="1" a="1"/>
  <c r="L31" i="11" s="1"/>
  <c r="A15" i="11" a="1"/>
  <c r="A15" i="11" s="1"/>
  <c r="A16" i="11" s="1" a="1"/>
  <c r="A16" i="11" s="1"/>
  <c r="AO13" i="9"/>
  <c r="O13" i="9" s="1"/>
  <c r="AP13" i="9"/>
  <c r="AW12" i="9"/>
  <c r="AZ12" i="9"/>
  <c r="BA15" i="9" a="1"/>
  <c r="BA15" i="9" s="1"/>
  <c r="BA16" i="9" s="1" a="1"/>
  <c r="BA16" i="9" s="1"/>
  <c r="BA17" i="9" s="1" a="1"/>
  <c r="BA17" i="9" s="1"/>
  <c r="BA18" i="9" s="1" a="1"/>
  <c r="BA18" i="9" s="1"/>
  <c r="BA19" i="9" s="1" a="1"/>
  <c r="BA19" i="9" s="1"/>
  <c r="BA20" i="9" s="1" a="1"/>
  <c r="BA20" i="9" s="1"/>
  <c r="BA21" i="9" s="1" a="1"/>
  <c r="BA21" i="9" s="1"/>
  <c r="BA22" i="9" s="1" a="1"/>
  <c r="BA22" i="9" s="1"/>
  <c r="BA23" i="9" s="1" a="1"/>
  <c r="BA23" i="9" s="1"/>
  <c r="BA24" i="9" s="1" a="1"/>
  <c r="BA24" i="9" s="1"/>
  <c r="BA25" i="9" s="1" a="1"/>
  <c r="BA25" i="9" s="1"/>
  <c r="BA26" i="9" s="1" a="1"/>
  <c r="BA26" i="9" s="1"/>
  <c r="BA27" i="9" s="1" a="1"/>
  <c r="BA27" i="9" s="1"/>
  <c r="BA28" i="9" s="1" a="1"/>
  <c r="BA28" i="9" s="1"/>
  <c r="BA29" i="9" s="1" a="1"/>
  <c r="BA29" i="9" s="1"/>
  <c r="BA30" i="9" s="1" a="1"/>
  <c r="BA30" i="9" s="1"/>
  <c r="BA31" i="9" s="1" a="1"/>
  <c r="BA31" i="9" s="1"/>
  <c r="BA32" i="9" s="1" a="1"/>
  <c r="BA32" i="9" s="1"/>
  <c r="BA33" i="9" s="1" a="1"/>
  <c r="BA33" i="9" s="1"/>
  <c r="BA34" i="9" s="1" a="1"/>
  <c r="BA34" i="9" s="1"/>
  <c r="BA35" i="9" s="1" a="1"/>
  <c r="BA35" i="9" s="1"/>
  <c r="BA36" i="9" s="1" a="1"/>
  <c r="BA36" i="9" s="1"/>
  <c r="BA37" i="9" s="1" a="1"/>
  <c r="BA37" i="9" s="1"/>
  <c r="BA38" i="9" s="1" a="1"/>
  <c r="BA38" i="9" s="1"/>
  <c r="BA39" i="9" s="1" a="1"/>
  <c r="BA39" i="9" s="1"/>
  <c r="BA40" i="9" s="1" a="1"/>
  <c r="BA40" i="9" s="1"/>
  <c r="BA41" i="9" s="1" a="1"/>
  <c r="BA41" i="9" s="1"/>
  <c r="BA42" i="9" s="1" a="1"/>
  <c r="BA42" i="9" s="1"/>
  <c r="BA43" i="9" s="1" a="1"/>
  <c r="BA43" i="9" s="1"/>
  <c r="BA44" i="9" s="1" a="1"/>
  <c r="BA44" i="9" s="1"/>
  <c r="BA45" i="9" s="1" a="1"/>
  <c r="BA45" i="9" s="1"/>
  <c r="BA46" i="9" s="1" a="1"/>
  <c r="BA46" i="9" s="1"/>
  <c r="BA47" i="9" s="1" a="1"/>
  <c r="BA47" i="9" s="1"/>
  <c r="BA48" i="9" s="1" a="1"/>
  <c r="BA48" i="9" s="1"/>
  <c r="BA49" i="9" s="1" a="1"/>
  <c r="BA49" i="9" s="1"/>
  <c r="BA50" i="9" s="1" a="1"/>
  <c r="BA50" i="9" s="1"/>
  <c r="AV19" i="9" a="1"/>
  <c r="AV19" i="9" s="1"/>
  <c r="AV20" i="9" s="1" a="1"/>
  <c r="AV20" i="9" s="1"/>
  <c r="AV21" i="9" s="1" a="1"/>
  <c r="AV21" i="9" s="1"/>
  <c r="AV22" i="9" s="1" a="1"/>
  <c r="AV22" i="9" s="1"/>
  <c r="AV23" i="9" s="1" a="1"/>
  <c r="AV23" i="9" s="1"/>
  <c r="AV24" i="9" s="1" a="1"/>
  <c r="AV24" i="9" s="1"/>
  <c r="AV25" i="9" s="1" a="1"/>
  <c r="AV25" i="9" s="1"/>
  <c r="AV26" i="9" s="1" a="1"/>
  <c r="AV26" i="9" s="1"/>
  <c r="AV27" i="9" s="1" a="1"/>
  <c r="AV27" i="9" s="1"/>
  <c r="AV28" i="9" s="1" a="1"/>
  <c r="AV28" i="9" s="1"/>
  <c r="AV29" i="9" s="1" a="1"/>
  <c r="AV29" i="9" s="1"/>
  <c r="AV30" i="9" s="1" a="1"/>
  <c r="AV30" i="9" s="1"/>
  <c r="AV31" i="9" s="1" a="1"/>
  <c r="AV31" i="9" s="1"/>
  <c r="AV32" i="9" s="1" a="1"/>
  <c r="AV32" i="9" s="1"/>
  <c r="AV33" i="9" s="1" a="1"/>
  <c r="AV33" i="9" s="1"/>
  <c r="AV34" i="9" s="1" a="1"/>
  <c r="AV34" i="9" s="1"/>
  <c r="AV35" i="9" s="1" a="1"/>
  <c r="AV35" i="9" s="1"/>
  <c r="AV36" i="9" s="1" a="1"/>
  <c r="AV36" i="9" s="1"/>
  <c r="AV37" i="9" s="1" a="1"/>
  <c r="AV37" i="9" s="1"/>
  <c r="AV38" i="9" s="1" a="1"/>
  <c r="AV38" i="9" s="1"/>
  <c r="AV39" i="9" s="1" a="1"/>
  <c r="AV39" i="9" s="1"/>
  <c r="AV40" i="9" s="1" a="1"/>
  <c r="AV40" i="9" s="1"/>
  <c r="AV41" i="9" s="1" a="1"/>
  <c r="AV41" i="9" s="1"/>
  <c r="AV42" i="9" s="1" a="1"/>
  <c r="AV42" i="9" s="1"/>
  <c r="AV43" i="9" s="1" a="1"/>
  <c r="AV43" i="9" s="1"/>
  <c r="AV44" i="9" s="1" a="1"/>
  <c r="AV44" i="9" s="1"/>
  <c r="AV45" i="9" s="1" a="1"/>
  <c r="AV45" i="9" s="1"/>
  <c r="AV46" i="9" s="1" a="1"/>
  <c r="AV46" i="9" s="1"/>
  <c r="AV47" i="9" s="1" a="1"/>
  <c r="AV47" i="9" s="1"/>
  <c r="AV48" i="9" s="1" a="1"/>
  <c r="AV48" i="9" s="1"/>
  <c r="AV49" i="9" s="1" a="1"/>
  <c r="AV49" i="9" s="1"/>
  <c r="AV50" i="9" s="1" a="1"/>
  <c r="AV50" i="9" s="1"/>
  <c r="AE12" i="9"/>
  <c r="H12" i="11" s="1"/>
  <c r="AF11" i="9"/>
  <c r="AN14" i="9" a="1"/>
  <c r="AN14" i="9" s="1"/>
  <c r="V16" i="9" a="1"/>
  <c r="V16" i="9" s="1"/>
  <c r="V17" i="9" s="1" a="1"/>
  <c r="V17" i="9" s="1"/>
  <c r="V18" i="9" s="1" a="1"/>
  <c r="V18" i="9" s="1"/>
  <c r="V19" i="9" s="1" a="1"/>
  <c r="V19" i="9" s="1"/>
  <c r="V20" i="9" s="1" a="1"/>
  <c r="V20" i="9" s="1"/>
  <c r="V21" i="9" s="1" a="1"/>
  <c r="V21" i="9" s="1"/>
  <c r="V22" i="9" s="1" a="1"/>
  <c r="V22" i="9" s="1"/>
  <c r="V23" i="9" s="1" a="1"/>
  <c r="V23" i="9" s="1"/>
  <c r="V24" i="9" s="1" a="1"/>
  <c r="V24" i="9" s="1"/>
  <c r="V25" i="9" s="1" a="1"/>
  <c r="V25" i="9" s="1"/>
  <c r="V26" i="9" s="1" a="1"/>
  <c r="V26" i="9" s="1"/>
  <c r="V27" i="9" s="1" a="1"/>
  <c r="V27" i="9" s="1"/>
  <c r="V28" i="9" s="1" a="1"/>
  <c r="V28" i="9" s="1"/>
  <c r="V29" i="9" s="1" a="1"/>
  <c r="V29" i="9" s="1"/>
  <c r="V30" i="9" s="1" a="1"/>
  <c r="V30" i="9" s="1"/>
  <c r="V31" i="9" s="1" a="1"/>
  <c r="V31" i="9" s="1"/>
  <c r="V32" i="9" s="1" a="1"/>
  <c r="V32" i="9" s="1"/>
  <c r="V33" i="9" s="1" a="1"/>
  <c r="V33" i="9" s="1"/>
  <c r="V34" i="9" s="1" a="1"/>
  <c r="V34" i="9" s="1"/>
  <c r="V35" i="9" s="1" a="1"/>
  <c r="V35" i="9" s="1"/>
  <c r="V36" i="9" s="1" a="1"/>
  <c r="V36" i="9" s="1"/>
  <c r="V37" i="9" s="1" a="1"/>
  <c r="V37" i="9" s="1"/>
  <c r="V38" i="9" s="1" a="1"/>
  <c r="V38" i="9" s="1"/>
  <c r="V39" i="9" s="1" a="1"/>
  <c r="V39" i="9" s="1"/>
  <c r="V40" i="9" s="1" a="1"/>
  <c r="V40" i="9" s="1"/>
  <c r="V41" i="9" s="1" a="1"/>
  <c r="V41" i="9" s="1"/>
  <c r="V42" i="9" s="1" a="1"/>
  <c r="V42" i="9" s="1"/>
  <c r="V43" i="9" s="1" a="1"/>
  <c r="V43" i="9" s="1"/>
  <c r="V44" i="9" s="1" a="1"/>
  <c r="V44" i="9" s="1"/>
  <c r="V45" i="9" s="1" a="1"/>
  <c r="V45" i="9" s="1"/>
  <c r="V46" i="9" s="1" a="1"/>
  <c r="V46" i="9" s="1"/>
  <c r="V47" i="9" s="1" a="1"/>
  <c r="V47" i="9" s="1"/>
  <c r="V48" i="9" s="1" a="1"/>
  <c r="V48" i="9" s="1"/>
  <c r="V49" i="9" s="1" a="1"/>
  <c r="V49" i="9" s="1"/>
  <c r="V50" i="9" s="1" a="1"/>
  <c r="V50" i="9" s="1"/>
  <c r="N15" i="9" a="1"/>
  <c r="N15" i="9" s="1"/>
  <c r="G14" i="9" a="1"/>
  <c r="G14" i="9" s="1"/>
  <c r="H13" i="9"/>
  <c r="I13" i="9"/>
  <c r="B13" i="11" s="1"/>
  <c r="J12" i="9"/>
  <c r="C12" i="11" s="1"/>
  <c r="D12" i="11" s="1"/>
  <c r="AR10" i="20"/>
  <c r="AR9" i="20"/>
  <c r="AR8" i="20"/>
  <c r="AQ10" i="20"/>
  <c r="AQ9" i="20"/>
  <c r="AQ8" i="20"/>
  <c r="AQ7" i="20"/>
  <c r="AR7" i="20"/>
  <c r="AP11" i="9"/>
  <c r="AP10" i="9"/>
  <c r="AP9" i="9"/>
  <c r="AQ9" i="9" s="1"/>
  <c r="AP8" i="9"/>
  <c r="AO11" i="9"/>
  <c r="O11" i="9" s="1"/>
  <c r="AO10" i="9"/>
  <c r="O10" i="9" s="1"/>
  <c r="AO8" i="9"/>
  <c r="O8" i="9" s="1"/>
  <c r="H11" i="11"/>
  <c r="AE10" i="9"/>
  <c r="H10" i="11" s="1"/>
  <c r="AE9" i="9"/>
  <c r="H9" i="11" s="1"/>
  <c r="I11" i="9"/>
  <c r="B11" i="11" s="1"/>
  <c r="I10" i="9"/>
  <c r="B10" i="11" s="1"/>
  <c r="I9" i="9"/>
  <c r="B9" i="11" s="1"/>
  <c r="H11" i="9"/>
  <c r="AZ11" i="9" s="1"/>
  <c r="H10" i="9"/>
  <c r="AZ10" i="9" s="1"/>
  <c r="H9" i="9"/>
  <c r="AW9" i="9" s="1"/>
  <c r="AD14" i="9" l="1"/>
  <c r="AC15" i="9" a="1"/>
  <c r="AC15" i="9" s="1"/>
  <c r="AQ8" i="9"/>
  <c r="AQ10" i="9"/>
  <c r="M10" i="11" s="1"/>
  <c r="AQ11" i="9"/>
  <c r="M11" i="11" s="1"/>
  <c r="AQ13" i="9"/>
  <c r="M13" i="11" s="1"/>
  <c r="P24" i="11" a="1"/>
  <c r="P24" i="11" s="1"/>
  <c r="P25" i="11" s="1" a="1"/>
  <c r="P25" i="11" s="1"/>
  <c r="P26" i="11" s="1" a="1"/>
  <c r="P26" i="11" s="1"/>
  <c r="Q12" i="11"/>
  <c r="S12" i="11" s="1"/>
  <c r="A17" i="11" a="1"/>
  <c r="A17" i="11" s="1"/>
  <c r="A18" i="11" s="1" a="1"/>
  <c r="A18" i="11" s="1"/>
  <c r="AP14" i="9"/>
  <c r="AO14" i="9"/>
  <c r="O14" i="9" s="1"/>
  <c r="AF12" i="9"/>
  <c r="I12" i="11" s="1"/>
  <c r="N12" i="11" s="1"/>
  <c r="J13" i="9"/>
  <c r="C13" i="11" s="1"/>
  <c r="D13" i="11" s="1"/>
  <c r="AW13" i="9"/>
  <c r="AZ13" i="9"/>
  <c r="AN15" i="9" a="1"/>
  <c r="AN15" i="9" s="1"/>
  <c r="AE13" i="9"/>
  <c r="H13" i="11" s="1"/>
  <c r="N16" i="9" a="1"/>
  <c r="N16" i="9" s="1"/>
  <c r="N17" i="9" s="1" a="1"/>
  <c r="N17" i="9" s="1"/>
  <c r="N18" i="9" s="1" a="1"/>
  <c r="N18" i="9" s="1"/>
  <c r="N19" i="9" s="1" a="1"/>
  <c r="N19" i="9" s="1"/>
  <c r="N20" i="9" s="1" a="1"/>
  <c r="N20" i="9" s="1"/>
  <c r="N21" i="9" s="1" a="1"/>
  <c r="N21" i="9" s="1"/>
  <c r="N22" i="9" s="1" a="1"/>
  <c r="N22" i="9" s="1"/>
  <c r="N23" i="9" s="1" a="1"/>
  <c r="N23" i="9" s="1"/>
  <c r="G15" i="9" a="1"/>
  <c r="G15" i="9" s="1"/>
  <c r="H14" i="9"/>
  <c r="I14" i="9"/>
  <c r="B14" i="11" s="1"/>
  <c r="AF10" i="9"/>
  <c r="P10" i="9" s="1"/>
  <c r="Q10" i="9" s="1"/>
  <c r="AF9" i="9"/>
  <c r="P9" i="9" s="1"/>
  <c r="I11" i="11"/>
  <c r="AW10" i="9"/>
  <c r="AW11" i="9"/>
  <c r="AZ9" i="9"/>
  <c r="AS8" i="20"/>
  <c r="AS9" i="20"/>
  <c r="AS10" i="20"/>
  <c r="J9" i="9"/>
  <c r="C9" i="11" s="1"/>
  <c r="D9" i="11" s="1"/>
  <c r="M8" i="11"/>
  <c r="M9" i="11"/>
  <c r="J11" i="9"/>
  <c r="C11" i="11" s="1"/>
  <c r="D11" i="11" s="1"/>
  <c r="J10" i="9"/>
  <c r="C10" i="11" s="1"/>
  <c r="D10" i="11" s="1"/>
  <c r="N24" i="9" l="1" a="1"/>
  <c r="N24" i="9" s="1"/>
  <c r="N25" i="9" s="1" a="1"/>
  <c r="N25" i="9" s="1"/>
  <c r="N26" i="9" s="1" a="1"/>
  <c r="N26" i="9" s="1"/>
  <c r="N27" i="9" s="1" a="1"/>
  <c r="N27" i="9" s="1"/>
  <c r="N28" i="9" s="1" a="1"/>
  <c r="N28" i="9" s="1"/>
  <c r="N29" i="9" s="1" a="1"/>
  <c r="N29" i="9" s="1"/>
  <c r="N30" i="9" s="1" a="1"/>
  <c r="N30" i="9" s="1"/>
  <c r="N31" i="9" s="1" a="1"/>
  <c r="N31" i="9" s="1"/>
  <c r="N32" i="9" s="1" a="1"/>
  <c r="N32" i="9" s="1"/>
  <c r="AD15" i="9"/>
  <c r="AC16" i="9" a="1"/>
  <c r="AC16" i="9" s="1"/>
  <c r="J11" i="11"/>
  <c r="N11" i="11"/>
  <c r="AQ14" i="9"/>
  <c r="M14" i="11" s="1"/>
  <c r="Q9" i="9"/>
  <c r="BB9" i="9" s="1"/>
  <c r="BC9" i="9" s="1"/>
  <c r="Q13" i="11"/>
  <c r="S13" i="11" s="1"/>
  <c r="P27" i="11" a="1"/>
  <c r="P27" i="11" s="1"/>
  <c r="AF13" i="9"/>
  <c r="W12" i="9"/>
  <c r="J12" i="11"/>
  <c r="X12" i="9"/>
  <c r="E12" i="11" s="1"/>
  <c r="P12" i="9"/>
  <c r="T12" i="11"/>
  <c r="A19" i="11" a="1"/>
  <c r="A19" i="11" s="1"/>
  <c r="A20" i="11" s="1" a="1"/>
  <c r="A20" i="11" s="1"/>
  <c r="A21" i="11" s="1" a="1"/>
  <c r="A21" i="11" s="1"/>
  <c r="A22" i="11" s="1" a="1"/>
  <c r="A22" i="11" s="1"/>
  <c r="A23" i="11" s="1" a="1"/>
  <c r="A23" i="11" s="1"/>
  <c r="A24" i="11" s="1" a="1"/>
  <c r="A24" i="11" s="1"/>
  <c r="A25" i="11" s="1" a="1"/>
  <c r="A25" i="11" s="1"/>
  <c r="A26" i="11" s="1" a="1"/>
  <c r="A26" i="11" s="1"/>
  <c r="A27" i="11" s="1" a="1"/>
  <c r="A27" i="11" s="1"/>
  <c r="A28" i="11" s="1" a="1"/>
  <c r="A28" i="11" s="1"/>
  <c r="A29" i="11" s="1" a="1"/>
  <c r="A29" i="11" s="1"/>
  <c r="A30" i="11" s="1" a="1"/>
  <c r="A30" i="11" s="1"/>
  <c r="A31" i="11" s="1" a="1"/>
  <c r="A31" i="11" s="1"/>
  <c r="AO15" i="9"/>
  <c r="O15" i="9" s="1"/>
  <c r="AP15" i="9"/>
  <c r="BB10" i="9"/>
  <c r="BC10" i="9" s="1"/>
  <c r="J14" i="9"/>
  <c r="C14" i="11" s="1"/>
  <c r="D14" i="11" s="1"/>
  <c r="AZ14" i="9"/>
  <c r="AW14" i="9"/>
  <c r="AN16" i="9" a="1"/>
  <c r="AN16" i="9" s="1"/>
  <c r="AE14" i="9"/>
  <c r="H14" i="11" s="1"/>
  <c r="I10" i="11"/>
  <c r="I9" i="11"/>
  <c r="P11" i="9"/>
  <c r="Q11" i="9" s="1"/>
  <c r="G16" i="9" a="1"/>
  <c r="G16" i="9" s="1"/>
  <c r="H15" i="9"/>
  <c r="I15" i="9"/>
  <c r="B15" i="11" s="1"/>
  <c r="W9" i="9"/>
  <c r="Q9" i="11"/>
  <c r="S9" i="11" s="1"/>
  <c r="Q10" i="11"/>
  <c r="S10" i="11" s="1"/>
  <c r="Q11" i="11"/>
  <c r="S11" i="11" s="1"/>
  <c r="X11" i="9"/>
  <c r="E11" i="11" s="1"/>
  <c r="W11" i="9"/>
  <c r="W10" i="9"/>
  <c r="X10" i="9"/>
  <c r="E10" i="11" s="1"/>
  <c r="N33" i="9" l="1" a="1"/>
  <c r="N33" i="9" s="1"/>
  <c r="N34" i="9" s="1" a="1"/>
  <c r="N34" i="9" s="1"/>
  <c r="N35" i="9" s="1" a="1"/>
  <c r="N35" i="9" s="1"/>
  <c r="N36" i="9" s="1" a="1"/>
  <c r="N36" i="9" s="1"/>
  <c r="N37" i="9" s="1" a="1"/>
  <c r="N37" i="9" s="1"/>
  <c r="N38" i="9" s="1" a="1"/>
  <c r="N38" i="9" s="1"/>
  <c r="N39" i="9" s="1" a="1"/>
  <c r="N39" i="9" s="1"/>
  <c r="N40" i="9" s="1" a="1"/>
  <c r="N40" i="9" s="1"/>
  <c r="N41" i="9" s="1" a="1"/>
  <c r="N41" i="9" s="1"/>
  <c r="N42" i="9" s="1" a="1"/>
  <c r="N42" i="9" s="1"/>
  <c r="N43" i="9" s="1" a="1"/>
  <c r="N43" i="9" s="1"/>
  <c r="N44" i="9" s="1" a="1"/>
  <c r="N44" i="9" s="1"/>
  <c r="N45" i="9" s="1" a="1"/>
  <c r="N45" i="9" s="1"/>
  <c r="N46" i="9" s="1" a="1"/>
  <c r="N46" i="9" s="1"/>
  <c r="N47" i="9" s="1" a="1"/>
  <c r="N47" i="9" s="1"/>
  <c r="N48" i="9" s="1" a="1"/>
  <c r="N48" i="9" s="1"/>
  <c r="N49" i="9" s="1" a="1"/>
  <c r="N49" i="9" s="1"/>
  <c r="N50" i="9" s="1" a="1"/>
  <c r="N50" i="9" s="1"/>
  <c r="AD16" i="9"/>
  <c r="AC17" i="9" a="1"/>
  <c r="AC17" i="9" s="1"/>
  <c r="J9" i="11"/>
  <c r="N9" i="11"/>
  <c r="J10" i="11"/>
  <c r="N10" i="11"/>
  <c r="T10" i="11" s="1"/>
  <c r="AQ15" i="9"/>
  <c r="M15" i="11" s="1"/>
  <c r="T9" i="11"/>
  <c r="Q12" i="9"/>
  <c r="BB12" i="9" s="1"/>
  <c r="BC12" i="9" s="1"/>
  <c r="P28" i="11" a="1"/>
  <c r="P28" i="11" s="1"/>
  <c r="P29" i="11" s="1" a="1"/>
  <c r="P29" i="11" s="1"/>
  <c r="X13" i="9"/>
  <c r="E13" i="11" s="1"/>
  <c r="I13" i="11"/>
  <c r="N13" i="11" s="1"/>
  <c r="Q14" i="11"/>
  <c r="S14" i="11" s="1"/>
  <c r="P13" i="9"/>
  <c r="W13" i="9"/>
  <c r="AO16" i="9"/>
  <c r="O16" i="9" s="1"/>
  <c r="AP16" i="9"/>
  <c r="BB11" i="9"/>
  <c r="BC11" i="9" s="1"/>
  <c r="J15" i="9"/>
  <c r="C15" i="11" s="1"/>
  <c r="D15" i="11" s="1"/>
  <c r="AZ15" i="9"/>
  <c r="AW15" i="9"/>
  <c r="AN17" i="9" a="1"/>
  <c r="AN17" i="9" s="1"/>
  <c r="AE15" i="9"/>
  <c r="H15" i="11" s="1"/>
  <c r="AF14" i="9"/>
  <c r="I14" i="11" s="1"/>
  <c r="G17" i="9" a="1"/>
  <c r="G17" i="9" s="1"/>
  <c r="I16" i="9"/>
  <c r="B16" i="11" s="1"/>
  <c r="H16" i="9"/>
  <c r="T11" i="11"/>
  <c r="AD17" i="9" l="1"/>
  <c r="AC18" i="9" a="1"/>
  <c r="AC18" i="9" s="1"/>
  <c r="J14" i="11"/>
  <c r="N14" i="11"/>
  <c r="T14" i="11" s="1"/>
  <c r="AQ16" i="9"/>
  <c r="M16" i="11" s="1"/>
  <c r="Q13" i="9"/>
  <c r="BB13" i="9" s="1"/>
  <c r="BC13" i="9" s="1"/>
  <c r="P30" i="11" a="1"/>
  <c r="P30" i="11" s="1"/>
  <c r="J13" i="11"/>
  <c r="T13" i="11"/>
  <c r="Q15" i="11"/>
  <c r="S15" i="11" s="1"/>
  <c r="AO17" i="9"/>
  <c r="O17" i="9" s="1"/>
  <c r="AP17" i="9"/>
  <c r="AF15" i="9"/>
  <c r="I15" i="11" s="1"/>
  <c r="J16" i="9"/>
  <c r="C16" i="11" s="1"/>
  <c r="D16" i="11" s="1"/>
  <c r="AZ16" i="9"/>
  <c r="AW16" i="9"/>
  <c r="W14" i="9"/>
  <c r="X14" i="9"/>
  <c r="E14" i="11" s="1"/>
  <c r="P14" i="9"/>
  <c r="Q14" i="9" s="1"/>
  <c r="AN18" i="9" a="1"/>
  <c r="AN18" i="9" s="1"/>
  <c r="AE16" i="9"/>
  <c r="H16" i="11" s="1"/>
  <c r="G18" i="9" a="1"/>
  <c r="G18" i="9" s="1"/>
  <c r="I17" i="9"/>
  <c r="B17" i="11" s="1"/>
  <c r="H17" i="9"/>
  <c r="F8" i="5"/>
  <c r="F7" i="5"/>
  <c r="AD18" i="9" l="1"/>
  <c r="AC19" i="9" a="1"/>
  <c r="AC19" i="9" s="1"/>
  <c r="J15" i="11"/>
  <c r="N15" i="11"/>
  <c r="T15" i="11" s="1"/>
  <c r="AQ17" i="9"/>
  <c r="M17" i="11" s="1"/>
  <c r="W15" i="9"/>
  <c r="X15" i="9"/>
  <c r="E15" i="11" s="1"/>
  <c r="Q16" i="11"/>
  <c r="S16" i="11" s="1"/>
  <c r="P15" i="9"/>
  <c r="AP18" i="9"/>
  <c r="AO18" i="9"/>
  <c r="O18" i="9" s="1"/>
  <c r="BB14" i="9"/>
  <c r="BC14" i="9" s="1"/>
  <c r="J17" i="9"/>
  <c r="C17" i="11" s="1"/>
  <c r="D17" i="11" s="1"/>
  <c r="AZ17" i="9"/>
  <c r="AW17" i="9"/>
  <c r="AF16" i="9"/>
  <c r="I16" i="11" s="1"/>
  <c r="N16" i="11" s="1"/>
  <c r="AN19" i="9" a="1"/>
  <c r="AN19" i="9" s="1"/>
  <c r="AE17" i="9"/>
  <c r="H17" i="11" s="1"/>
  <c r="G19" i="9" a="1"/>
  <c r="G19" i="9" s="1"/>
  <c r="I18" i="9"/>
  <c r="B18" i="11" s="1"/>
  <c r="H18" i="9"/>
  <c r="AD19" i="9" l="1"/>
  <c r="AC20" i="9" a="1"/>
  <c r="AC20" i="9" s="1"/>
  <c r="Q17" i="11"/>
  <c r="S17" i="11" s="1"/>
  <c r="AQ18" i="9"/>
  <c r="M18" i="11" s="1"/>
  <c r="Q15" i="9"/>
  <c r="BB15" i="9" s="1"/>
  <c r="BC15" i="9" s="1"/>
  <c r="J16" i="11"/>
  <c r="T16" i="11"/>
  <c r="AO19" i="9"/>
  <c r="O19" i="9" s="1"/>
  <c r="AP19" i="9"/>
  <c r="AZ18" i="9"/>
  <c r="AW18" i="9"/>
  <c r="AF17" i="9"/>
  <c r="I17" i="11" s="1"/>
  <c r="N17" i="11" s="1"/>
  <c r="AN20" i="9" a="1"/>
  <c r="AN20" i="9" s="1"/>
  <c r="AE18" i="9"/>
  <c r="H18" i="11" s="1"/>
  <c r="P16" i="9"/>
  <c r="Q16" i="9" s="1"/>
  <c r="X16" i="9"/>
  <c r="E16" i="11" s="1"/>
  <c r="W16" i="9"/>
  <c r="J18" i="9"/>
  <c r="C18" i="11" s="1"/>
  <c r="D18" i="11" s="1"/>
  <c r="G20" i="9" a="1"/>
  <c r="G20" i="9" s="1"/>
  <c r="I19" i="9"/>
  <c r="B19" i="11" s="1"/>
  <c r="H19" i="9"/>
  <c r="AD20" i="9" l="1"/>
  <c r="AC21" i="9" a="1"/>
  <c r="AC21" i="9" s="1"/>
  <c r="AQ19" i="9"/>
  <c r="M19" i="11" s="1"/>
  <c r="T17" i="11"/>
  <c r="Q18" i="11"/>
  <c r="S18" i="11" s="1"/>
  <c r="J17" i="11"/>
  <c r="AO20" i="9"/>
  <c r="O20" i="9" s="1"/>
  <c r="AP20" i="9"/>
  <c r="BB16" i="9"/>
  <c r="BC16" i="9" s="1"/>
  <c r="AZ19" i="9"/>
  <c r="AW19" i="9"/>
  <c r="AF18" i="9"/>
  <c r="I18" i="11" s="1"/>
  <c r="N18" i="11" s="1"/>
  <c r="AN21" i="9" a="1"/>
  <c r="AN21" i="9" s="1"/>
  <c r="AE19" i="9"/>
  <c r="H19" i="11" s="1"/>
  <c r="W17" i="9"/>
  <c r="X17" i="9"/>
  <c r="E17" i="11" s="1"/>
  <c r="P17" i="9"/>
  <c r="J19" i="9"/>
  <c r="C19" i="11" s="1"/>
  <c r="D19" i="11" s="1"/>
  <c r="I20" i="9"/>
  <c r="B20" i="11" s="1"/>
  <c r="H20" i="9"/>
  <c r="G21" i="9" a="1"/>
  <c r="G21" i="9" s="1"/>
  <c r="AD21" i="9" l="1"/>
  <c r="AC22" i="9" a="1"/>
  <c r="AC22" i="9" s="1"/>
  <c r="AQ20" i="9"/>
  <c r="M20" i="11" s="1"/>
  <c r="Q17" i="9"/>
  <c r="BB17" i="9" s="1"/>
  <c r="BC17" i="9" s="1"/>
  <c r="J18" i="11"/>
  <c r="Q19" i="11"/>
  <c r="S19" i="11" s="1"/>
  <c r="T18" i="11"/>
  <c r="AO21" i="9"/>
  <c r="O21" i="9" s="1"/>
  <c r="AP21" i="9"/>
  <c r="J20" i="9"/>
  <c r="C20" i="11" s="1"/>
  <c r="D20" i="11" s="1"/>
  <c r="AW20" i="9"/>
  <c r="AZ20" i="9"/>
  <c r="AF19" i="9"/>
  <c r="I19" i="11" s="1"/>
  <c r="AN22" i="9" a="1"/>
  <c r="AN22" i="9" s="1"/>
  <c r="AE20" i="9"/>
  <c r="H20" i="11" s="1"/>
  <c r="P18" i="9"/>
  <c r="Q18" i="9" s="1"/>
  <c r="W18" i="9"/>
  <c r="X18" i="9"/>
  <c r="E18" i="11" s="1"/>
  <c r="G22" i="9" a="1"/>
  <c r="G22" i="9" s="1"/>
  <c r="H21" i="9"/>
  <c r="I21" i="9"/>
  <c r="B21" i="11" s="1"/>
  <c r="AD22" i="9" l="1"/>
  <c r="AC23" i="9" a="1"/>
  <c r="AC23" i="9" s="1"/>
  <c r="J19" i="11"/>
  <c r="N19" i="11"/>
  <c r="T19" i="11" s="1"/>
  <c r="AQ21" i="9"/>
  <c r="M21" i="11" s="1"/>
  <c r="Q20" i="11"/>
  <c r="S20" i="11" s="1"/>
  <c r="BB18" i="9"/>
  <c r="BC18" i="9" s="1"/>
  <c r="AP22" i="9"/>
  <c r="AO22" i="9"/>
  <c r="O22" i="9" s="1"/>
  <c r="J21" i="9"/>
  <c r="C21" i="11" s="1"/>
  <c r="D21" i="11" s="1"/>
  <c r="AW21" i="9"/>
  <c r="AZ21" i="9"/>
  <c r="AF20" i="9"/>
  <c r="I20" i="11" s="1"/>
  <c r="AN23" i="9" a="1"/>
  <c r="AN23" i="9" s="1"/>
  <c r="AE21" i="9"/>
  <c r="H21" i="11" s="1"/>
  <c r="P19" i="9"/>
  <c r="Q19" i="9" s="1"/>
  <c r="X19" i="9"/>
  <c r="E19" i="11" s="1"/>
  <c r="W19" i="9"/>
  <c r="G23" i="9" a="1"/>
  <c r="G23" i="9" s="1"/>
  <c r="H22" i="9"/>
  <c r="I22" i="9"/>
  <c r="B22" i="11" s="1"/>
  <c r="AD23" i="9" l="1"/>
  <c r="AC24" i="9" a="1"/>
  <c r="AC24" i="9" s="1"/>
  <c r="J20" i="11"/>
  <c r="N20" i="11"/>
  <c r="T20" i="11" s="1"/>
  <c r="AQ22" i="9"/>
  <c r="M22" i="11" s="1"/>
  <c r="Q21" i="11"/>
  <c r="S21" i="11" s="1"/>
  <c r="AO23" i="9"/>
  <c r="O23" i="9" s="1"/>
  <c r="AP23" i="9"/>
  <c r="BB19" i="9"/>
  <c r="BC19" i="9" s="1"/>
  <c r="J22" i="9"/>
  <c r="C22" i="11" s="1"/>
  <c r="D22" i="11" s="1"/>
  <c r="AZ22" i="9"/>
  <c r="AW22" i="9"/>
  <c r="AF21" i="9"/>
  <c r="I21" i="11" s="1"/>
  <c r="AN24" i="9" a="1"/>
  <c r="AN24" i="9" s="1"/>
  <c r="AE22" i="9"/>
  <c r="H22" i="11" s="1"/>
  <c r="P20" i="9"/>
  <c r="Q20" i="9" s="1"/>
  <c r="W20" i="9"/>
  <c r="X20" i="9"/>
  <c r="E20" i="11" s="1"/>
  <c r="G24" i="9" a="1"/>
  <c r="G24" i="9" s="1"/>
  <c r="H23" i="9"/>
  <c r="I23" i="9"/>
  <c r="B23" i="11" s="1"/>
  <c r="AD24" i="9" l="1"/>
  <c r="AC25" i="9" a="1"/>
  <c r="AC25" i="9" s="1"/>
  <c r="J21" i="11"/>
  <c r="N21" i="11"/>
  <c r="T21" i="11" s="1"/>
  <c r="AQ23" i="9"/>
  <c r="M23" i="11" s="1"/>
  <c r="J23" i="9"/>
  <c r="C23" i="11" s="1"/>
  <c r="D23" i="11" s="1"/>
  <c r="Q22" i="11"/>
  <c r="S22" i="11" s="1"/>
  <c r="BB20" i="9"/>
  <c r="BC20" i="9" s="1"/>
  <c r="AO24" i="9"/>
  <c r="O24" i="9" s="1"/>
  <c r="AP24" i="9"/>
  <c r="AZ23" i="9"/>
  <c r="AW23" i="9"/>
  <c r="AF22" i="9"/>
  <c r="I22" i="11" s="1"/>
  <c r="AN25" i="9" a="1"/>
  <c r="AN25" i="9" s="1"/>
  <c r="AE23" i="9"/>
  <c r="H23" i="11" s="1"/>
  <c r="X21" i="9"/>
  <c r="E21" i="11" s="1"/>
  <c r="P21" i="9"/>
  <c r="Q21" i="9" s="1"/>
  <c r="W21" i="9"/>
  <c r="G25" i="9" a="1"/>
  <c r="G25" i="9" s="1"/>
  <c r="I24" i="9"/>
  <c r="B24" i="11" s="1"/>
  <c r="H24" i="9"/>
  <c r="AD25" i="9" l="1"/>
  <c r="AC26" i="9" a="1"/>
  <c r="AC26" i="9" s="1"/>
  <c r="J22" i="11"/>
  <c r="N22" i="11"/>
  <c r="T22" i="11" s="1"/>
  <c r="AQ24" i="9"/>
  <c r="M24" i="11" s="1"/>
  <c r="Q23" i="11"/>
  <c r="S23" i="11" s="1"/>
  <c r="BB21" i="9"/>
  <c r="BC21" i="9" s="1"/>
  <c r="AO25" i="9"/>
  <c r="O25" i="9" s="1"/>
  <c r="AP25" i="9"/>
  <c r="AF23" i="9"/>
  <c r="AZ24" i="9"/>
  <c r="AW24" i="9"/>
  <c r="AN26" i="9" a="1"/>
  <c r="AN26" i="9" s="1"/>
  <c r="AE24" i="9"/>
  <c r="H24" i="11" s="1"/>
  <c r="W22" i="9"/>
  <c r="X22" i="9"/>
  <c r="E22" i="11" s="1"/>
  <c r="P22" i="9"/>
  <c r="Q22" i="9" s="1"/>
  <c r="J24" i="9"/>
  <c r="C24" i="11" s="1"/>
  <c r="D24" i="11" s="1"/>
  <c r="G26" i="9" a="1"/>
  <c r="G26" i="9" s="1"/>
  <c r="I25" i="9"/>
  <c r="B25" i="11" s="1"/>
  <c r="H25" i="9"/>
  <c r="AD26" i="9" l="1"/>
  <c r="AC27" i="9" a="1"/>
  <c r="AC27" i="9" s="1"/>
  <c r="AQ25" i="9"/>
  <c r="M25" i="11" s="1"/>
  <c r="Q24" i="11"/>
  <c r="S24" i="11" s="1"/>
  <c r="X23" i="9"/>
  <c r="E23" i="11" s="1"/>
  <c r="I23" i="11"/>
  <c r="N23" i="11" s="1"/>
  <c r="W23" i="9"/>
  <c r="P23" i="9"/>
  <c r="Q23" i="9" s="1"/>
  <c r="AP26" i="9"/>
  <c r="AO26" i="9"/>
  <c r="O26" i="9" s="1"/>
  <c r="BB22" i="9"/>
  <c r="BC22" i="9" s="1"/>
  <c r="AF24" i="9"/>
  <c r="I24" i="11" s="1"/>
  <c r="J25" i="9"/>
  <c r="C25" i="11" s="1"/>
  <c r="D25" i="11" s="1"/>
  <c r="AZ25" i="9"/>
  <c r="AW25" i="9"/>
  <c r="AN27" i="9" a="1"/>
  <c r="AN27" i="9" s="1"/>
  <c r="AE25" i="9"/>
  <c r="H25" i="11" s="1"/>
  <c r="G27" i="9" a="1"/>
  <c r="G27" i="9" s="1"/>
  <c r="H26" i="9"/>
  <c r="I26" i="9"/>
  <c r="B26" i="11" s="1"/>
  <c r="AD27" i="9" l="1"/>
  <c r="AC28" i="9" a="1"/>
  <c r="AC28" i="9" s="1"/>
  <c r="J24" i="11"/>
  <c r="N24" i="11"/>
  <c r="T24" i="11" s="1"/>
  <c r="AQ26" i="9"/>
  <c r="M26" i="11" s="1"/>
  <c r="Q25" i="11"/>
  <c r="S25" i="11" s="1"/>
  <c r="P24" i="9"/>
  <c r="J23" i="11"/>
  <c r="T23" i="11"/>
  <c r="AO27" i="9"/>
  <c r="O27" i="9" s="1"/>
  <c r="AP27" i="9"/>
  <c r="BB23" i="9"/>
  <c r="BC23" i="9" s="1"/>
  <c r="X24" i="9"/>
  <c r="E24" i="11" s="1"/>
  <c r="W24" i="9"/>
  <c r="AF25" i="9"/>
  <c r="AZ26" i="9"/>
  <c r="AW26" i="9"/>
  <c r="AN28" i="9" a="1"/>
  <c r="AN28" i="9" s="1"/>
  <c r="AE26" i="9"/>
  <c r="H26" i="11" s="1"/>
  <c r="J26" i="9"/>
  <c r="C26" i="11" s="1"/>
  <c r="D26" i="11" s="1"/>
  <c r="G28" i="9" a="1"/>
  <c r="G28" i="9" s="1"/>
  <c r="H27" i="9"/>
  <c r="I27" i="9"/>
  <c r="B27" i="11" s="1"/>
  <c r="H13" i="21"/>
  <c r="AD28" i="9" l="1"/>
  <c r="AC29" i="9" a="1"/>
  <c r="AC29" i="9" s="1"/>
  <c r="AQ27" i="9"/>
  <c r="M27" i="11" s="1"/>
  <c r="Q24" i="9"/>
  <c r="BB24" i="9" s="1"/>
  <c r="BC24" i="9" s="1"/>
  <c r="W25" i="9"/>
  <c r="I25" i="11"/>
  <c r="N25" i="11" s="1"/>
  <c r="Q26" i="11"/>
  <c r="S26" i="11" s="1"/>
  <c r="P25" i="9"/>
  <c r="X25" i="9"/>
  <c r="E25" i="11" s="1"/>
  <c r="AO28" i="9"/>
  <c r="O28" i="9" s="1"/>
  <c r="AP28" i="9"/>
  <c r="AZ27" i="9"/>
  <c r="AW27" i="9"/>
  <c r="AF26" i="9"/>
  <c r="I26" i="11" s="1"/>
  <c r="AN29" i="9" a="1"/>
  <c r="AN29" i="9" s="1"/>
  <c r="AE27" i="9"/>
  <c r="H27" i="11" s="1"/>
  <c r="J27" i="9"/>
  <c r="C27" i="11" s="1"/>
  <c r="D27" i="11" s="1"/>
  <c r="G29" i="9" a="1"/>
  <c r="G29" i="9" s="1"/>
  <c r="H28" i="9"/>
  <c r="I28" i="9"/>
  <c r="B28" i="11" s="1"/>
  <c r="AD29" i="9" l="1"/>
  <c r="AC30" i="9" a="1"/>
  <c r="AC30" i="9" s="1"/>
  <c r="AD30" i="9" s="1"/>
  <c r="J26" i="11"/>
  <c r="N26" i="11"/>
  <c r="T26" i="11" s="1"/>
  <c r="Q25" i="9"/>
  <c r="BB25" i="9" s="1"/>
  <c r="BC25" i="9" s="1"/>
  <c r="AQ28" i="9"/>
  <c r="M28" i="11" s="1"/>
  <c r="Q27" i="11"/>
  <c r="S27" i="11" s="1"/>
  <c r="J25" i="11"/>
  <c r="T25" i="11"/>
  <c r="AO29" i="9"/>
  <c r="O29" i="9" s="1"/>
  <c r="AP29" i="9"/>
  <c r="J28" i="9"/>
  <c r="C28" i="11" s="1"/>
  <c r="D28" i="11" s="1"/>
  <c r="AW28" i="9"/>
  <c r="AZ28" i="9"/>
  <c r="AF27" i="9"/>
  <c r="I27" i="11" s="1"/>
  <c r="N27" i="11" s="1"/>
  <c r="AN30" i="9" a="1"/>
  <c r="AN30" i="9" s="1"/>
  <c r="AE28" i="9"/>
  <c r="H28" i="11" s="1"/>
  <c r="W26" i="9"/>
  <c r="P26" i="9"/>
  <c r="Q26" i="9" s="1"/>
  <c r="X26" i="9"/>
  <c r="E26" i="11" s="1"/>
  <c r="G30" i="9" a="1"/>
  <c r="G30" i="9" s="1"/>
  <c r="H29" i="9"/>
  <c r="I29" i="9"/>
  <c r="B29" i="11" s="1"/>
  <c r="AC31" i="9" l="1" a="1"/>
  <c r="AC31" i="9" s="1"/>
  <c r="AQ29" i="9"/>
  <c r="M29" i="11" s="1"/>
  <c r="J27" i="11"/>
  <c r="T27" i="11"/>
  <c r="Q28" i="11"/>
  <c r="S28" i="11" s="1"/>
  <c r="AP30" i="9"/>
  <c r="AO30" i="9"/>
  <c r="O30" i="9" s="1"/>
  <c r="BB26" i="9"/>
  <c r="BC26" i="9" s="1"/>
  <c r="J29" i="9"/>
  <c r="C29" i="11" s="1"/>
  <c r="D29" i="11" s="1"/>
  <c r="AW29" i="9"/>
  <c r="AZ29" i="9"/>
  <c r="AF28" i="9"/>
  <c r="I28" i="11" s="1"/>
  <c r="AN31" i="9" a="1"/>
  <c r="AN31" i="9" s="1"/>
  <c r="AE29" i="9"/>
  <c r="H29" i="11" s="1"/>
  <c r="X27" i="9"/>
  <c r="E27" i="11" s="1"/>
  <c r="W27" i="9"/>
  <c r="P27" i="9"/>
  <c r="Q27" i="9" s="1"/>
  <c r="G31" i="9" a="1"/>
  <c r="G31" i="9" s="1"/>
  <c r="H30" i="9"/>
  <c r="I30" i="9"/>
  <c r="B30" i="11" s="1"/>
  <c r="AD31" i="9" l="1"/>
  <c r="AC32" i="9" a="1"/>
  <c r="AC32" i="9" s="1"/>
  <c r="J28" i="11"/>
  <c r="N28" i="11"/>
  <c r="T28" i="11" s="1"/>
  <c r="AQ30" i="9"/>
  <c r="M30" i="11" s="1"/>
  <c r="Q29" i="11"/>
  <c r="S29" i="11" s="1"/>
  <c r="BB27" i="9"/>
  <c r="BC27" i="9" s="1"/>
  <c r="AO31" i="9"/>
  <c r="O31" i="9" s="1"/>
  <c r="AP31" i="9"/>
  <c r="AF29" i="9"/>
  <c r="AZ30" i="9"/>
  <c r="AW30" i="9"/>
  <c r="AN32" i="9" a="1"/>
  <c r="AN32" i="9" s="1"/>
  <c r="AE30" i="9"/>
  <c r="H30" i="11" s="1"/>
  <c r="P28" i="9"/>
  <c r="Q28" i="9" s="1"/>
  <c r="W28" i="9"/>
  <c r="X28" i="9"/>
  <c r="E28" i="11" s="1"/>
  <c r="J30" i="9"/>
  <c r="C30" i="11" s="1"/>
  <c r="D30" i="11" s="1"/>
  <c r="G32" i="9" a="1"/>
  <c r="G32" i="9" s="1"/>
  <c r="I31" i="9"/>
  <c r="B31" i="11" s="1"/>
  <c r="H31" i="9"/>
  <c r="AD32" i="9" l="1"/>
  <c r="AC33" i="9" a="1"/>
  <c r="AC33" i="9" s="1"/>
  <c r="AQ31" i="9"/>
  <c r="M31" i="11" s="1"/>
  <c r="Q31" i="11" s="1"/>
  <c r="Q30" i="11"/>
  <c r="S30" i="11" s="1"/>
  <c r="X29" i="9"/>
  <c r="E29" i="11" s="1"/>
  <c r="I29" i="11"/>
  <c r="N29" i="11" s="1"/>
  <c r="J31" i="9"/>
  <c r="C31" i="11" s="1"/>
  <c r="D31" i="11" s="1"/>
  <c r="BB28" i="9"/>
  <c r="BC28" i="9" s="1"/>
  <c r="W29" i="9"/>
  <c r="AO32" i="9"/>
  <c r="O32" i="9" s="1"/>
  <c r="AP32" i="9"/>
  <c r="P29" i="9"/>
  <c r="Q29" i="9" s="1"/>
  <c r="AZ31" i="9"/>
  <c r="AW31" i="9"/>
  <c r="AF30" i="9"/>
  <c r="I30" i="11" s="1"/>
  <c r="AN33" i="9" a="1"/>
  <c r="AN33" i="9" s="1"/>
  <c r="AE31" i="9"/>
  <c r="H31" i="11" s="1"/>
  <c r="G33" i="9" a="1"/>
  <c r="G33" i="9" s="1"/>
  <c r="I32" i="9"/>
  <c r="B32" i="11" s="1"/>
  <c r="H32" i="9"/>
  <c r="S31" i="11" l="1"/>
  <c r="AD33" i="9"/>
  <c r="AC34" i="9" a="1"/>
  <c r="AC34" i="9" s="1"/>
  <c r="J30" i="11"/>
  <c r="N30" i="11"/>
  <c r="T30" i="11" s="1"/>
  <c r="AQ32" i="9"/>
  <c r="M32" i="11" s="1"/>
  <c r="J29" i="11"/>
  <c r="T29" i="11"/>
  <c r="J32" i="9"/>
  <c r="C32" i="11" s="1"/>
  <c r="D32" i="11" s="1"/>
  <c r="BB29" i="9"/>
  <c r="BC29" i="9" s="1"/>
  <c r="AO33" i="9"/>
  <c r="O33" i="9" s="1"/>
  <c r="AP33" i="9"/>
  <c r="AZ32" i="9"/>
  <c r="AW32" i="9"/>
  <c r="AF31" i="9"/>
  <c r="I31" i="11" s="1"/>
  <c r="AN34" i="9" a="1"/>
  <c r="AN34" i="9" s="1"/>
  <c r="AE32" i="9"/>
  <c r="X30" i="9"/>
  <c r="E30" i="11" s="1"/>
  <c r="P30" i="9"/>
  <c r="Q30" i="9" s="1"/>
  <c r="W30" i="9"/>
  <c r="G34" i="9" a="1"/>
  <c r="G34" i="9" s="1"/>
  <c r="I33" i="9"/>
  <c r="H33" i="9"/>
  <c r="N32" i="11" l="1"/>
  <c r="Q32" i="11"/>
  <c r="S32" i="11" s="1"/>
  <c r="T32" i="11" s="1"/>
  <c r="AD34" i="9"/>
  <c r="AC35" i="9" a="1"/>
  <c r="AC35" i="9" s="1"/>
  <c r="J31" i="11"/>
  <c r="N31" i="11"/>
  <c r="T31" i="11" s="1"/>
  <c r="AQ33" i="9"/>
  <c r="AP34" i="9"/>
  <c r="AO34" i="9"/>
  <c r="O34" i="9" s="1"/>
  <c r="BB30" i="9"/>
  <c r="BC30" i="9" s="1"/>
  <c r="J33" i="9"/>
  <c r="AZ33" i="9"/>
  <c r="AW33" i="9"/>
  <c r="AF32" i="9"/>
  <c r="AN35" i="9" a="1"/>
  <c r="AN35" i="9" s="1"/>
  <c r="AE33" i="9"/>
  <c r="W31" i="9"/>
  <c r="X31" i="9"/>
  <c r="E31" i="11" s="1"/>
  <c r="P31" i="9"/>
  <c r="Q31" i="9" s="1"/>
  <c r="G35" i="9" a="1"/>
  <c r="G35" i="9" s="1"/>
  <c r="I34" i="9"/>
  <c r="H34" i="9"/>
  <c r="AD35" i="9" l="1"/>
  <c r="AC36" i="9" a="1"/>
  <c r="AC36" i="9" s="1"/>
  <c r="AQ34" i="9"/>
  <c r="BB31" i="9"/>
  <c r="BC31" i="9" s="1"/>
  <c r="AO35" i="9"/>
  <c r="O35" i="9" s="1"/>
  <c r="AP35" i="9"/>
  <c r="AF33" i="9"/>
  <c r="X33" i="9" s="1"/>
  <c r="J34" i="9"/>
  <c r="AZ34" i="9"/>
  <c r="AW34" i="9"/>
  <c r="AN36" i="9" a="1"/>
  <c r="AN36" i="9" s="1"/>
  <c r="AE34" i="9"/>
  <c r="P32" i="9"/>
  <c r="Q32" i="9" s="1"/>
  <c r="X32" i="9"/>
  <c r="E32" i="11" s="1"/>
  <c r="W32" i="9"/>
  <c r="G36" i="9" a="1"/>
  <c r="G36" i="9" s="1"/>
  <c r="I35" i="9"/>
  <c r="H35" i="9"/>
  <c r="AD36" i="9" l="1"/>
  <c r="AC37" i="9" a="1"/>
  <c r="AC37" i="9" s="1"/>
  <c r="AQ35" i="9"/>
  <c r="BB32" i="9"/>
  <c r="BC32" i="9" s="1"/>
  <c r="AO36" i="9"/>
  <c r="O36" i="9" s="1"/>
  <c r="AP36" i="9"/>
  <c r="P33" i="9"/>
  <c r="Q33" i="9" s="1"/>
  <c r="W33" i="9"/>
  <c r="AZ35" i="9"/>
  <c r="AW35" i="9"/>
  <c r="AF34" i="9"/>
  <c r="AN37" i="9" a="1"/>
  <c r="AN37" i="9" s="1"/>
  <c r="AE35" i="9"/>
  <c r="J35" i="9"/>
  <c r="G37" i="9" a="1"/>
  <c r="G37" i="9" s="1"/>
  <c r="I36" i="9"/>
  <c r="H36" i="9"/>
  <c r="AD37" i="9" l="1"/>
  <c r="AC38" i="9" a="1"/>
  <c r="AC38" i="9" s="1"/>
  <c r="AQ36" i="9"/>
  <c r="AF35" i="9"/>
  <c r="X35" i="9" s="1"/>
  <c r="BB33" i="9"/>
  <c r="BC33" i="9" s="1"/>
  <c r="AO37" i="9"/>
  <c r="O37" i="9" s="1"/>
  <c r="AP37" i="9"/>
  <c r="J36" i="9"/>
  <c r="AW36" i="9"/>
  <c r="AZ36" i="9"/>
  <c r="AN38" i="9" a="1"/>
  <c r="AN38" i="9" s="1"/>
  <c r="AE36" i="9"/>
  <c r="P34" i="9"/>
  <c r="Q34" i="9" s="1"/>
  <c r="W34" i="9"/>
  <c r="X34" i="9"/>
  <c r="G38" i="9" a="1"/>
  <c r="G38" i="9" s="1"/>
  <c r="H37" i="9"/>
  <c r="I37" i="9"/>
  <c r="AD38" i="9" l="1"/>
  <c r="AC39" i="9" a="1"/>
  <c r="AC39" i="9" s="1"/>
  <c r="AQ37" i="9"/>
  <c r="P35" i="9"/>
  <c r="Q35" i="9" s="1"/>
  <c r="BB35" i="9" s="1"/>
  <c r="BC35" i="9" s="1"/>
  <c r="W35" i="9"/>
  <c r="AP38" i="9"/>
  <c r="AO38" i="9"/>
  <c r="O38" i="9" s="1"/>
  <c r="BB34" i="9"/>
  <c r="BC34" i="9" s="1"/>
  <c r="J37" i="9"/>
  <c r="AW37" i="9"/>
  <c r="AZ37" i="9"/>
  <c r="AF36" i="9"/>
  <c r="AN39" i="9" a="1"/>
  <c r="AN39" i="9" s="1"/>
  <c r="AE37" i="9"/>
  <c r="G39" i="9" a="1"/>
  <c r="G39" i="9" s="1"/>
  <c r="H38" i="9"/>
  <c r="I38" i="9"/>
  <c r="AD39" i="9" l="1"/>
  <c r="AC40" i="9" a="1"/>
  <c r="AC40" i="9" s="1"/>
  <c r="AQ38" i="9"/>
  <c r="AO39" i="9"/>
  <c r="O39" i="9" s="1"/>
  <c r="AP39" i="9"/>
  <c r="AZ38" i="9"/>
  <c r="AW38" i="9"/>
  <c r="AF37" i="9"/>
  <c r="AN40" i="9" a="1"/>
  <c r="AN40" i="9" s="1"/>
  <c r="AE38" i="9"/>
  <c r="P36" i="9"/>
  <c r="Q36" i="9" s="1"/>
  <c r="W36" i="9"/>
  <c r="X36" i="9"/>
  <c r="J38" i="9"/>
  <c r="G40" i="9" a="1"/>
  <c r="G40" i="9" s="1"/>
  <c r="I39" i="9"/>
  <c r="H39" i="9"/>
  <c r="AD40" i="9" l="1"/>
  <c r="AC41" i="9" a="1"/>
  <c r="AC41" i="9" s="1"/>
  <c r="AQ39" i="9"/>
  <c r="AO40" i="9"/>
  <c r="O40" i="9" s="1"/>
  <c r="AP40" i="9"/>
  <c r="BB36" i="9"/>
  <c r="BC36" i="9" s="1"/>
  <c r="AZ39" i="9"/>
  <c r="AW39" i="9"/>
  <c r="AF38" i="9"/>
  <c r="AN41" i="9" a="1"/>
  <c r="AN41" i="9" s="1"/>
  <c r="AE39" i="9"/>
  <c r="W37" i="9"/>
  <c r="X37" i="9"/>
  <c r="P37" i="9"/>
  <c r="Q37" i="9" s="1"/>
  <c r="J39" i="9"/>
  <c r="G41" i="9" a="1"/>
  <c r="G41" i="9" s="1"/>
  <c r="I40" i="9"/>
  <c r="H40" i="9"/>
  <c r="B1" i="20"/>
  <c r="AQ4" i="20"/>
  <c r="AR6" i="20"/>
  <c r="AQ6" i="20"/>
  <c r="AR5" i="20"/>
  <c r="AQ5" i="20"/>
  <c r="AR4" i="20"/>
  <c r="F33" i="5"/>
  <c r="F32" i="5"/>
  <c r="F31" i="5"/>
  <c r="F30" i="5"/>
  <c r="F29" i="5"/>
  <c r="F28" i="5"/>
  <c r="F27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AD41" i="9" l="1"/>
  <c r="AC42" i="9" a="1"/>
  <c r="AC42" i="9" s="1"/>
  <c r="AQ40" i="9"/>
  <c r="AO41" i="9"/>
  <c r="O41" i="9" s="1"/>
  <c r="AP41" i="9"/>
  <c r="BB37" i="9"/>
  <c r="BC37" i="9" s="1"/>
  <c r="J40" i="9"/>
  <c r="AZ40" i="9"/>
  <c r="AW40" i="9"/>
  <c r="AF39" i="9"/>
  <c r="AN42" i="9" a="1"/>
  <c r="AN42" i="9" s="1"/>
  <c r="AE40" i="9"/>
  <c r="W38" i="9"/>
  <c r="X38" i="9"/>
  <c r="P38" i="9"/>
  <c r="Q38" i="9" s="1"/>
  <c r="G42" i="9" a="1"/>
  <c r="G42" i="9" s="1"/>
  <c r="I41" i="9"/>
  <c r="H41" i="9"/>
  <c r="AM7" i="20"/>
  <c r="H26" i="21" s="1"/>
  <c r="AH10" i="20"/>
  <c r="B24" i="21" s="1"/>
  <c r="AG9" i="20"/>
  <c r="K10" i="20"/>
  <c r="J11" i="20"/>
  <c r="AH9" i="20"/>
  <c r="B23" i="21" s="1"/>
  <c r="AG8" i="20"/>
  <c r="K11" i="20"/>
  <c r="J9" i="20"/>
  <c r="AG11" i="20"/>
  <c r="K9" i="20"/>
  <c r="J8" i="20"/>
  <c r="AH11" i="20"/>
  <c r="B25" i="21" s="1"/>
  <c r="AG10" i="20"/>
  <c r="J10" i="20"/>
  <c r="C30" i="9"/>
  <c r="C38" i="9"/>
  <c r="C35" i="9"/>
  <c r="C36" i="9"/>
  <c r="C31" i="9"/>
  <c r="C40" i="9"/>
  <c r="C39" i="9"/>
  <c r="C29" i="9"/>
  <c r="C37" i="9"/>
  <c r="AS5" i="20"/>
  <c r="AS7" i="20"/>
  <c r="AS6" i="20"/>
  <c r="K8" i="20"/>
  <c r="AA8" i="20" s="1"/>
  <c r="AH5" i="20"/>
  <c r="AH6" i="20"/>
  <c r="B20" i="21" s="1"/>
  <c r="D18" i="20"/>
  <c r="C19" i="20"/>
  <c r="K5" i="20"/>
  <c r="B13" i="20"/>
  <c r="B19" i="20"/>
  <c r="AM4" i="20"/>
  <c r="AH8" i="20"/>
  <c r="B22" i="21" s="1"/>
  <c r="AM6" i="20"/>
  <c r="H23" i="21" s="1"/>
  <c r="K7" i="20"/>
  <c r="AA7" i="20" s="1"/>
  <c r="B18" i="20"/>
  <c r="AH7" i="20"/>
  <c r="B21" i="21" s="1"/>
  <c r="K6" i="20"/>
  <c r="AA6" i="20" s="1"/>
  <c r="D19" i="20"/>
  <c r="C18" i="20"/>
  <c r="AS4" i="20"/>
  <c r="AD42" i="9" l="1"/>
  <c r="AC43" i="9" a="1"/>
  <c r="AC43" i="9" s="1"/>
  <c r="AQ41" i="9"/>
  <c r="BB38" i="9"/>
  <c r="BC38" i="9" s="1"/>
  <c r="AP42" i="9"/>
  <c r="AO42" i="9"/>
  <c r="O42" i="9" s="1"/>
  <c r="AF40" i="9"/>
  <c r="W40" i="9" s="1"/>
  <c r="J41" i="9"/>
  <c r="AZ41" i="9"/>
  <c r="AW41" i="9"/>
  <c r="AN43" i="9" a="1"/>
  <c r="AN43" i="9" s="1"/>
  <c r="AE41" i="9"/>
  <c r="W39" i="9"/>
  <c r="P39" i="9"/>
  <c r="Q39" i="9" s="1"/>
  <c r="X39" i="9"/>
  <c r="G43" i="9" a="1"/>
  <c r="G43" i="9" s="1"/>
  <c r="I42" i="9"/>
  <c r="H42" i="9"/>
  <c r="AA5" i="20"/>
  <c r="K3" i="20"/>
  <c r="B19" i="21"/>
  <c r="B26" i="21" s="1"/>
  <c r="AH3" i="20"/>
  <c r="AI10" i="20"/>
  <c r="AB10" i="20" s="1"/>
  <c r="AA10" i="20"/>
  <c r="B12" i="21"/>
  <c r="AA9" i="20"/>
  <c r="B11" i="21"/>
  <c r="AA11" i="20"/>
  <c r="B13" i="21"/>
  <c r="AX11" i="20"/>
  <c r="O10" i="20"/>
  <c r="O9" i="20"/>
  <c r="AX10" i="20"/>
  <c r="AX12" i="20"/>
  <c r="O11" i="20"/>
  <c r="AI9" i="20"/>
  <c r="L8" i="20"/>
  <c r="AI8" i="20"/>
  <c r="AI11" i="20"/>
  <c r="AB11" i="20" s="1"/>
  <c r="L10" i="20"/>
  <c r="C12" i="21" s="1"/>
  <c r="L9" i="20"/>
  <c r="C11" i="21" s="1"/>
  <c r="L11" i="20"/>
  <c r="C13" i="21" s="1"/>
  <c r="B10" i="21"/>
  <c r="B7" i="21"/>
  <c r="AM5" i="20"/>
  <c r="H24" i="21" s="1"/>
  <c r="B9" i="21"/>
  <c r="E19" i="20"/>
  <c r="E18" i="20"/>
  <c r="H18" i="21"/>
  <c r="B8" i="21"/>
  <c r="AD43" i="9" l="1"/>
  <c r="AC44" i="9" a="1"/>
  <c r="AC44" i="9" s="1"/>
  <c r="AQ42" i="9"/>
  <c r="P40" i="9"/>
  <c r="X40" i="9"/>
  <c r="AO43" i="9"/>
  <c r="O43" i="9" s="1"/>
  <c r="AP43" i="9"/>
  <c r="BB39" i="9"/>
  <c r="BC39" i="9" s="1"/>
  <c r="J42" i="9"/>
  <c r="AZ42" i="9"/>
  <c r="AW42" i="9"/>
  <c r="AF41" i="9"/>
  <c r="AN44" i="9" a="1"/>
  <c r="AN44" i="9" s="1"/>
  <c r="AE42" i="9"/>
  <c r="G44" i="9" a="1"/>
  <c r="G44" i="9" s="1"/>
  <c r="I43" i="9"/>
  <c r="H43" i="9"/>
  <c r="C24" i="21"/>
  <c r="D24" i="21" s="1"/>
  <c r="AC10" i="20"/>
  <c r="Q10" i="20" s="1"/>
  <c r="R10" i="20" s="1"/>
  <c r="B14" i="21"/>
  <c r="AB9" i="20"/>
  <c r="AC9" i="20" s="1"/>
  <c r="Q9" i="20" s="1"/>
  <c r="R9" i="20" s="1"/>
  <c r="C23" i="21"/>
  <c r="D23" i="21" s="1"/>
  <c r="AC11" i="20"/>
  <c r="Q11" i="20" s="1"/>
  <c r="R11" i="20" s="1"/>
  <c r="C25" i="21"/>
  <c r="D25" i="21" s="1"/>
  <c r="D11" i="21"/>
  <c r="D13" i="21"/>
  <c r="D12" i="21"/>
  <c r="W10" i="20"/>
  <c r="E13" i="21" s="1"/>
  <c r="V10" i="20"/>
  <c r="V8" i="20"/>
  <c r="W8" i="20"/>
  <c r="E11" i="21" s="1"/>
  <c r="V7" i="20"/>
  <c r="W9" i="20"/>
  <c r="E12" i="21" s="1"/>
  <c r="V9" i="20"/>
  <c r="AD44" i="9" l="1"/>
  <c r="AC45" i="9" a="1"/>
  <c r="AC45" i="9" s="1"/>
  <c r="AQ43" i="9"/>
  <c r="Q40" i="9"/>
  <c r="BB40" i="9" s="1"/>
  <c r="BC40" i="9" s="1"/>
  <c r="AO44" i="9"/>
  <c r="O44" i="9" s="1"/>
  <c r="AP44" i="9"/>
  <c r="AZ43" i="9"/>
  <c r="AW43" i="9"/>
  <c r="AF42" i="9"/>
  <c r="AN45" i="9" a="1"/>
  <c r="AN45" i="9" s="1"/>
  <c r="AE43" i="9"/>
  <c r="W41" i="9"/>
  <c r="X41" i="9"/>
  <c r="P41" i="9"/>
  <c r="Q41" i="9" s="1"/>
  <c r="J43" i="9"/>
  <c r="G45" i="9" a="1"/>
  <c r="G45" i="9" s="1"/>
  <c r="H44" i="9"/>
  <c r="I44" i="9"/>
  <c r="AD45" i="9" l="1"/>
  <c r="AC46" i="9" a="1"/>
  <c r="AC46" i="9" s="1"/>
  <c r="AQ44" i="9"/>
  <c r="AO45" i="9"/>
  <c r="O45" i="9" s="1"/>
  <c r="AP45" i="9"/>
  <c r="BB41" i="9"/>
  <c r="BC41" i="9" s="1"/>
  <c r="AW44" i="9"/>
  <c r="AZ44" i="9"/>
  <c r="AF43" i="9"/>
  <c r="AN46" i="9" a="1"/>
  <c r="AN46" i="9" s="1"/>
  <c r="AE44" i="9"/>
  <c r="W42" i="9"/>
  <c r="P42" i="9"/>
  <c r="Q42" i="9" s="1"/>
  <c r="X42" i="9"/>
  <c r="J44" i="9"/>
  <c r="G46" i="9" a="1"/>
  <c r="G46" i="9" s="1"/>
  <c r="H45" i="9"/>
  <c r="I45" i="9"/>
  <c r="AD46" i="9" l="1"/>
  <c r="AC47" i="9" a="1"/>
  <c r="AC47" i="9" s="1"/>
  <c r="AQ45" i="9"/>
  <c r="AP46" i="9"/>
  <c r="AO46" i="9"/>
  <c r="O46" i="9" s="1"/>
  <c r="BB42" i="9"/>
  <c r="BC42" i="9" s="1"/>
  <c r="AF44" i="9"/>
  <c r="X44" i="9" s="1"/>
  <c r="J45" i="9"/>
  <c r="AW45" i="9"/>
  <c r="AZ45" i="9"/>
  <c r="AN47" i="9" a="1"/>
  <c r="AN47" i="9" s="1"/>
  <c r="AE45" i="9"/>
  <c r="P43" i="9"/>
  <c r="Q43" i="9" s="1"/>
  <c r="W43" i="9"/>
  <c r="X43" i="9"/>
  <c r="G47" i="9" a="1"/>
  <c r="G47" i="9" s="1"/>
  <c r="H46" i="9"/>
  <c r="I46" i="9"/>
  <c r="B8" i="20"/>
  <c r="AD47" i="9" l="1"/>
  <c r="AC48" i="9" a="1"/>
  <c r="AC48" i="9" s="1"/>
  <c r="AQ46" i="9"/>
  <c r="W44" i="9"/>
  <c r="BB43" i="9"/>
  <c r="BC43" i="9" s="1"/>
  <c r="AO47" i="9"/>
  <c r="O47" i="9" s="1"/>
  <c r="AP47" i="9"/>
  <c r="P44" i="9"/>
  <c r="Q44" i="9" s="1"/>
  <c r="J46" i="9"/>
  <c r="AZ46" i="9"/>
  <c r="AW46" i="9"/>
  <c r="AF45" i="9"/>
  <c r="AN48" i="9" a="1"/>
  <c r="AN48" i="9" s="1"/>
  <c r="AE46" i="9"/>
  <c r="G48" i="9" a="1"/>
  <c r="G48" i="9" s="1"/>
  <c r="I47" i="9"/>
  <c r="H47" i="9"/>
  <c r="AK7" i="9"/>
  <c r="H6" i="22" s="1"/>
  <c r="B25" i="22" s="1"/>
  <c r="J5" i="20"/>
  <c r="AG7" i="20"/>
  <c r="AI7" i="20" s="1"/>
  <c r="AG6" i="20"/>
  <c r="AI6" i="20" s="1"/>
  <c r="AD48" i="9" l="1"/>
  <c r="AC49" i="9" a="1"/>
  <c r="AC49" i="9" s="1"/>
  <c r="AQ47" i="9"/>
  <c r="BB44" i="9"/>
  <c r="BC44" i="9" s="1"/>
  <c r="AO48" i="9"/>
  <c r="O48" i="9" s="1"/>
  <c r="AP48" i="9"/>
  <c r="J47" i="9"/>
  <c r="AZ47" i="9"/>
  <c r="AW47" i="9"/>
  <c r="AF46" i="9"/>
  <c r="AN49" i="9" a="1"/>
  <c r="AN49" i="9" s="1"/>
  <c r="AE47" i="9"/>
  <c r="X45" i="9"/>
  <c r="P45" i="9"/>
  <c r="Q45" i="9" s="1"/>
  <c r="W45" i="9"/>
  <c r="G49" i="9" a="1"/>
  <c r="G49" i="9" s="1"/>
  <c r="I48" i="9"/>
  <c r="H48" i="9"/>
  <c r="AB6" i="20"/>
  <c r="AC6" i="20" s="1"/>
  <c r="Q6" i="20" s="1"/>
  <c r="C20" i="21"/>
  <c r="D20" i="21" s="1"/>
  <c r="B14" i="20"/>
  <c r="AG5" i="20"/>
  <c r="C21" i="21"/>
  <c r="D21" i="21" s="1"/>
  <c r="AB7" i="20"/>
  <c r="AC7" i="20" s="1"/>
  <c r="Q7" i="20" s="1"/>
  <c r="AB8" i="20"/>
  <c r="AC8" i="20" s="1"/>
  <c r="Q8" i="20" s="1"/>
  <c r="C22" i="21"/>
  <c r="D22" i="21" s="1"/>
  <c r="AX9" i="20"/>
  <c r="O8" i="20"/>
  <c r="AX6" i="20"/>
  <c r="L5" i="20"/>
  <c r="O5" i="20"/>
  <c r="J7" i="20"/>
  <c r="L7" i="20" s="1"/>
  <c r="B9" i="20"/>
  <c r="J6" i="20"/>
  <c r="L6" i="20" s="1"/>
  <c r="AD49" i="9" l="1"/>
  <c r="AC50" i="9" a="1"/>
  <c r="AC50" i="9" s="1"/>
  <c r="AD50" i="9" s="1"/>
  <c r="AQ48" i="9"/>
  <c r="BB45" i="9"/>
  <c r="BC45" i="9" s="1"/>
  <c r="AF47" i="9"/>
  <c r="X47" i="9" s="1"/>
  <c r="AO49" i="9"/>
  <c r="O49" i="9" s="1"/>
  <c r="AP49" i="9"/>
  <c r="AZ48" i="9"/>
  <c r="AW48" i="9"/>
  <c r="AN50" i="9" a="1"/>
  <c r="AN50" i="9" s="1"/>
  <c r="AE48" i="9"/>
  <c r="W46" i="9"/>
  <c r="X46" i="9"/>
  <c r="P46" i="9"/>
  <c r="Q46" i="9" s="1"/>
  <c r="J48" i="9"/>
  <c r="G50" i="9" a="1"/>
  <c r="G50" i="9" s="1"/>
  <c r="I49" i="9"/>
  <c r="H49" i="9"/>
  <c r="J3" i="20"/>
  <c r="AI5" i="20"/>
  <c r="W4" i="20" s="1"/>
  <c r="E7" i="21" s="1"/>
  <c r="AG3" i="20"/>
  <c r="R8" i="20"/>
  <c r="AX8" i="20"/>
  <c r="O7" i="20"/>
  <c r="R7" i="20" s="1"/>
  <c r="C10" i="21"/>
  <c r="D10" i="21" s="1"/>
  <c r="W7" i="20"/>
  <c r="E10" i="21" s="1"/>
  <c r="AX7" i="20"/>
  <c r="O6" i="20"/>
  <c r="C7" i="21"/>
  <c r="D7" i="21" s="1"/>
  <c r="V4" i="20" l="1"/>
  <c r="AQ49" i="9"/>
  <c r="AP50" i="9"/>
  <c r="AO50" i="9"/>
  <c r="O50" i="9" s="1"/>
  <c r="W47" i="9"/>
  <c r="P47" i="9"/>
  <c r="Q47" i="9" s="1"/>
  <c r="BB46" i="9"/>
  <c r="BC46" i="9" s="1"/>
  <c r="AZ49" i="9"/>
  <c r="AW49" i="9"/>
  <c r="AE49" i="9"/>
  <c r="AF48" i="9"/>
  <c r="J49" i="9"/>
  <c r="I50" i="9"/>
  <c r="H50" i="9"/>
  <c r="O3" i="20"/>
  <c r="AX13" i="20"/>
  <c r="C19" i="21"/>
  <c r="D19" i="21" s="1"/>
  <c r="D26" i="21" s="1"/>
  <c r="AB5" i="20"/>
  <c r="AC5" i="20" s="1"/>
  <c r="AC3" i="20" s="1"/>
  <c r="V6" i="20"/>
  <c r="C9" i="21"/>
  <c r="D9" i="21" s="1"/>
  <c r="W6" i="20"/>
  <c r="E9" i="21" s="1"/>
  <c r="C8" i="21"/>
  <c r="D8" i="21" s="1"/>
  <c r="W5" i="20"/>
  <c r="V5" i="20"/>
  <c r="R6" i="20"/>
  <c r="AQ50" i="9" l="1"/>
  <c r="BB47" i="9"/>
  <c r="BC47" i="9" s="1"/>
  <c r="J50" i="9"/>
  <c r="AZ50" i="9"/>
  <c r="AW50" i="9"/>
  <c r="P48" i="9"/>
  <c r="Q48" i="9" s="1"/>
  <c r="X48" i="9"/>
  <c r="W48" i="9"/>
  <c r="AF49" i="9"/>
  <c r="AE50" i="9"/>
  <c r="D14" i="21"/>
  <c r="H17" i="21" s="1"/>
  <c r="AY12" i="20"/>
  <c r="AY10" i="20"/>
  <c r="AY11" i="20"/>
  <c r="Q5" i="20"/>
  <c r="Q3" i="20" s="1"/>
  <c r="R3" i="20" s="1"/>
  <c r="H19" i="21"/>
  <c r="V11" i="20"/>
  <c r="E8" i="21"/>
  <c r="W11" i="20"/>
  <c r="AY8" i="20"/>
  <c r="AY9" i="20"/>
  <c r="AY7" i="20"/>
  <c r="AY6" i="20"/>
  <c r="BB48" i="9" l="1"/>
  <c r="BC48" i="9" s="1"/>
  <c r="AF50" i="9"/>
  <c r="W49" i="9"/>
  <c r="P49" i="9"/>
  <c r="Q49" i="9" s="1"/>
  <c r="X49" i="9"/>
  <c r="H21" i="21"/>
  <c r="H25" i="21" s="1"/>
  <c r="H27" i="21" s="1"/>
  <c r="R5" i="20"/>
  <c r="BB49" i="9" l="1"/>
  <c r="BC49" i="9" s="1"/>
  <c r="X50" i="9"/>
  <c r="P50" i="9"/>
  <c r="Q50" i="9" s="1"/>
  <c r="W50" i="9"/>
  <c r="BB50" i="9" l="1"/>
  <c r="BC50" i="9" s="1"/>
  <c r="D22" i="9" l="1"/>
  <c r="E22" i="9" s="1"/>
  <c r="D6" i="22" s="1"/>
  <c r="D21" i="9"/>
  <c r="AK4" i="9" l="1"/>
  <c r="B17" i="22" s="1"/>
  <c r="BI4" i="9" l="1"/>
  <c r="J8" i="21" l="1"/>
  <c r="AK6" i="9" l="1"/>
  <c r="B22" i="22" s="1"/>
  <c r="B21" i="9"/>
  <c r="D44" i="5"/>
  <c r="AP7" i="9"/>
  <c r="AP6" i="9"/>
  <c r="AP5" i="9"/>
  <c r="AQ5" i="9" s="1"/>
  <c r="BI8" i="9"/>
  <c r="AO7" i="9"/>
  <c r="AO6" i="9"/>
  <c r="H8" i="11"/>
  <c r="AE7" i="9"/>
  <c r="H7" i="11" s="1"/>
  <c r="AE6" i="9"/>
  <c r="H6" i="11" s="1"/>
  <c r="AE5" i="9"/>
  <c r="H5" i="11" s="1"/>
  <c r="I6" i="9"/>
  <c r="B6" i="11" s="1"/>
  <c r="I7" i="9"/>
  <c r="B7" i="11" s="1"/>
  <c r="I8" i="9"/>
  <c r="B8" i="11" s="1"/>
  <c r="I5" i="9"/>
  <c r="B5" i="11" s="1"/>
  <c r="H8" i="9"/>
  <c r="AZ8" i="9" s="1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F20" i="5"/>
  <c r="F19" i="5"/>
  <c r="F18" i="5"/>
  <c r="F17" i="5"/>
  <c r="F16" i="5"/>
  <c r="F15" i="5"/>
  <c r="F14" i="5"/>
  <c r="F13" i="5"/>
  <c r="F12" i="5"/>
  <c r="F11" i="5"/>
  <c r="F10" i="5"/>
  <c r="F9" i="5"/>
  <c r="F6" i="5"/>
  <c r="C44" i="5"/>
  <c r="B44" i="5"/>
  <c r="B33" i="11" l="1"/>
  <c r="AQ6" i="9"/>
  <c r="M6" i="11" s="1"/>
  <c r="AQ7" i="9"/>
  <c r="M7" i="11" s="1"/>
  <c r="O7" i="9"/>
  <c r="O6" i="9"/>
  <c r="AF8" i="9"/>
  <c r="I8" i="11" s="1"/>
  <c r="N8" i="11" s="1"/>
  <c r="B4" i="9"/>
  <c r="B6" i="22" s="1"/>
  <c r="B3" i="9"/>
  <c r="B5" i="22" s="1"/>
  <c r="AF6" i="9"/>
  <c r="I6" i="11" s="1"/>
  <c r="C6" i="22"/>
  <c r="C32" i="9"/>
  <c r="C34" i="9"/>
  <c r="C33" i="9"/>
  <c r="E21" i="9"/>
  <c r="D5" i="22" s="1"/>
  <c r="AK5" i="9"/>
  <c r="B23" i="22" s="1"/>
  <c r="BI5" i="9"/>
  <c r="J8" i="9"/>
  <c r="AW8" i="9"/>
  <c r="AD5" i="9"/>
  <c r="AF5" i="9" s="1"/>
  <c r="P5" i="9" s="1"/>
  <c r="Q5" i="9" s="1"/>
  <c r="H6" i="9"/>
  <c r="AZ6" i="9" s="1"/>
  <c r="H7" i="9"/>
  <c r="Q8" i="11"/>
  <c r="M5" i="11"/>
  <c r="B12" i="9"/>
  <c r="C5" i="22" s="1"/>
  <c r="AF7" i="9"/>
  <c r="M33" i="11" l="1"/>
  <c r="J6" i="11"/>
  <c r="N6" i="11"/>
  <c r="BI6" i="9"/>
  <c r="J8" i="11"/>
  <c r="E6" i="22"/>
  <c r="H17" i="22" s="1"/>
  <c r="BI7" i="9"/>
  <c r="E5" i="22"/>
  <c r="W8" i="9"/>
  <c r="Q6" i="11"/>
  <c r="Q5" i="11"/>
  <c r="Q7" i="11"/>
  <c r="I8" i="21"/>
  <c r="P7" i="9"/>
  <c r="Q7" i="9" s="1"/>
  <c r="J5" i="9"/>
  <c r="I7" i="21"/>
  <c r="J7" i="21"/>
  <c r="H7" i="21"/>
  <c r="H8" i="21"/>
  <c r="AW7" i="9"/>
  <c r="AZ7" i="9"/>
  <c r="AZ3" i="9" s="1"/>
  <c r="C8" i="11"/>
  <c r="D8" i="11" s="1"/>
  <c r="J6" i="9"/>
  <c r="AW6" i="9"/>
  <c r="I5" i="11"/>
  <c r="J5" i="11" s="1"/>
  <c r="P8" i="9"/>
  <c r="Q8" i="9" s="1"/>
  <c r="I7" i="11"/>
  <c r="P6" i="9"/>
  <c r="J7" i="9"/>
  <c r="W7" i="9" s="1"/>
  <c r="E7" i="22" l="1"/>
  <c r="Q33" i="11"/>
  <c r="J7" i="11"/>
  <c r="N7" i="11"/>
  <c r="BI3" i="9"/>
  <c r="BJ4" i="9" s="1"/>
  <c r="BJ6" i="9" s="1"/>
  <c r="X6" i="9" s="1"/>
  <c r="E6" i="11" s="1"/>
  <c r="Q6" i="9"/>
  <c r="Q3" i="9" s="1"/>
  <c r="AW3" i="9"/>
  <c r="AX6" i="9" s="1"/>
  <c r="H16" i="22"/>
  <c r="BB7" i="9"/>
  <c r="BC7" i="9" s="1"/>
  <c r="W5" i="9"/>
  <c r="C5" i="11"/>
  <c r="D5" i="11" s="1"/>
  <c r="BB8" i="9"/>
  <c r="BC8" i="9" s="1"/>
  <c r="BB5" i="9"/>
  <c r="L6" i="21"/>
  <c r="S8" i="11"/>
  <c r="T8" i="11" s="1"/>
  <c r="N5" i="11"/>
  <c r="N33" i="11" s="1"/>
  <c r="C6" i="11"/>
  <c r="D6" i="11" s="1"/>
  <c r="W6" i="9"/>
  <c r="W4" i="9" s="1"/>
  <c r="C7" i="11"/>
  <c r="S7" i="11" s="1"/>
  <c r="BJ7" i="9" l="1"/>
  <c r="X7" i="9" s="1"/>
  <c r="E7" i="11" s="1"/>
  <c r="BJ8" i="9"/>
  <c r="X8" i="9" s="1"/>
  <c r="E8" i="11" s="1"/>
  <c r="BJ5" i="9"/>
  <c r="X5" i="9" s="1"/>
  <c r="E5" i="11" s="1"/>
  <c r="BB6" i="9"/>
  <c r="H18" i="22"/>
  <c r="B18" i="22"/>
  <c r="Z3" i="9"/>
  <c r="Z5" i="9" s="1"/>
  <c r="S6" i="11"/>
  <c r="T6" i="11" s="1"/>
  <c r="S5" i="11"/>
  <c r="S33" i="11" s="1"/>
  <c r="T7" i="11"/>
  <c r="BB3" i="9"/>
  <c r="BC3" i="9" s="1"/>
  <c r="AX7" i="9"/>
  <c r="AX5" i="9"/>
  <c r="AX9" i="9"/>
  <c r="AX12" i="9"/>
  <c r="AX11" i="9"/>
  <c r="AX10" i="9"/>
  <c r="AX13" i="9"/>
  <c r="AX14" i="9"/>
  <c r="AX15" i="9"/>
  <c r="AX16" i="9"/>
  <c r="AX17" i="9"/>
  <c r="AX18" i="9"/>
  <c r="AX19" i="9"/>
  <c r="AX20" i="9"/>
  <c r="AX21" i="9"/>
  <c r="AX22" i="9"/>
  <c r="AX23" i="9"/>
  <c r="AX24" i="9"/>
  <c r="AX25" i="9"/>
  <c r="AX26" i="9"/>
  <c r="AX27" i="9"/>
  <c r="AX28" i="9"/>
  <c r="AX29" i="9"/>
  <c r="AX30" i="9"/>
  <c r="AX31" i="9"/>
  <c r="AX32" i="9"/>
  <c r="AX33" i="9"/>
  <c r="AX34" i="9"/>
  <c r="AX35" i="9"/>
  <c r="AX36" i="9"/>
  <c r="AX37" i="9"/>
  <c r="AX38" i="9"/>
  <c r="AX39" i="9"/>
  <c r="AX40" i="9"/>
  <c r="AX41" i="9"/>
  <c r="AX42" i="9"/>
  <c r="AX43" i="9"/>
  <c r="AX44" i="9"/>
  <c r="AX45" i="9"/>
  <c r="AX46" i="9"/>
  <c r="AX47" i="9"/>
  <c r="AX48" i="9"/>
  <c r="AX49" i="9"/>
  <c r="AX50" i="9"/>
  <c r="AX8" i="9"/>
  <c r="BC5" i="9"/>
  <c r="L5" i="21"/>
  <c r="L7" i="21" s="1"/>
  <c r="BC6" i="9"/>
  <c r="D7" i="11"/>
  <c r="D33" i="11" s="1"/>
  <c r="BJ3" i="9" l="1"/>
  <c r="X9" i="9" s="1"/>
  <c r="E9" i="11" s="1"/>
  <c r="E33" i="11" s="1"/>
  <c r="H19" i="22"/>
  <c r="H27" i="22" s="1"/>
  <c r="B20" i="22"/>
  <c r="B24" i="22" s="1"/>
  <c r="B26" i="22" s="1"/>
  <c r="T5" i="11"/>
  <c r="T33" i="11" s="1"/>
  <c r="X4" i="9"/>
  <c r="E14" i="21" s="1"/>
  <c r="K23" i="22" l="1"/>
  <c r="K25" i="22" s="1"/>
  <c r="K27" i="22" s="1"/>
  <c r="K29" i="2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<sst xmlns="http://schemas.openxmlformats.org/spreadsheetml/2006/main" count="601" uniqueCount="159">
  <si>
    <t>Fecha</t>
  </si>
  <si>
    <t>L</t>
  </si>
  <si>
    <t>M</t>
  </si>
  <si>
    <t>TOTAL</t>
  </si>
  <si>
    <t>Forma de pago</t>
  </si>
  <si>
    <t>Total</t>
  </si>
  <si>
    <t>S</t>
  </si>
  <si>
    <t>Costo</t>
  </si>
  <si>
    <t>XL</t>
  </si>
  <si>
    <t>COMPRAS</t>
  </si>
  <si>
    <t>Monto</t>
  </si>
  <si>
    <t>Talla</t>
  </si>
  <si>
    <t>Costo unitario</t>
  </si>
  <si>
    <t>Cantidad</t>
  </si>
  <si>
    <t>STOCK</t>
  </si>
  <si>
    <t>Costo total</t>
  </si>
  <si>
    <t>Formas de pago</t>
  </si>
  <si>
    <t>DEBITO</t>
  </si>
  <si>
    <t>EFECTIVO</t>
  </si>
  <si>
    <t>VENTAS</t>
  </si>
  <si>
    <t>Precio</t>
  </si>
  <si>
    <t>Ingreso total</t>
  </si>
  <si>
    <t>INCOME</t>
  </si>
  <si>
    <t>ingreso total</t>
  </si>
  <si>
    <t>ingreso</t>
  </si>
  <si>
    <t>U vendidas</t>
  </si>
  <si>
    <t>Método de pago</t>
  </si>
  <si>
    <t>COSTOS</t>
  </si>
  <si>
    <t>Costo promedio</t>
  </si>
  <si>
    <t>Unidades compradas</t>
  </si>
  <si>
    <t>Precio promedio</t>
  </si>
  <si>
    <t>MARGENES</t>
  </si>
  <si>
    <t>Margen promedio</t>
  </si>
  <si>
    <t>Stock</t>
  </si>
  <si>
    <t>Comprado</t>
  </si>
  <si>
    <t>Vendido</t>
  </si>
  <si>
    <t>Actual</t>
  </si>
  <si>
    <t>OTROS</t>
  </si>
  <si>
    <t>Otros</t>
  </si>
  <si>
    <t>gasto</t>
  </si>
  <si>
    <t>Tipo</t>
  </si>
  <si>
    <t>motivo</t>
  </si>
  <si>
    <t>Gasto</t>
  </si>
  <si>
    <t>Ingreso</t>
  </si>
  <si>
    <t>Unidades vendidas</t>
  </si>
  <si>
    <t>Margen utilidad</t>
  </si>
  <si>
    <t>Stock disponible</t>
  </si>
  <si>
    <t>VENTAS POR PRODUCTO</t>
  </si>
  <si>
    <t>Métodos de pago</t>
  </si>
  <si>
    <t>Egreso</t>
  </si>
  <si>
    <t>GASTO</t>
  </si>
  <si>
    <t>OPERACIÓN</t>
  </si>
  <si>
    <t>Ingresos x venta</t>
  </si>
  <si>
    <t>Utilidad operacional</t>
  </si>
  <si>
    <t>Costo vendido</t>
  </si>
  <si>
    <t>vendido</t>
  </si>
  <si>
    <t>Costo operacional</t>
  </si>
  <si>
    <t>Otros ingresos</t>
  </si>
  <si>
    <t>Otros gastos</t>
  </si>
  <si>
    <t>Dinero Disponible</t>
  </si>
  <si>
    <t>Costos operacional</t>
  </si>
  <si>
    <t>Costo inventario</t>
  </si>
  <si>
    <t>Bencina</t>
  </si>
  <si>
    <t>% ingreso</t>
  </si>
  <si>
    <t>Costo fijo de transporte</t>
  </si>
  <si>
    <t>Costo shipping</t>
  </si>
  <si>
    <t xml:space="preserve">Balance </t>
  </si>
  <si>
    <t>ACTIVOS</t>
  </si>
  <si>
    <t xml:space="preserve">Caja </t>
  </si>
  <si>
    <t>Inventario disponible</t>
  </si>
  <si>
    <t>Banco</t>
  </si>
  <si>
    <t>Pasivos</t>
  </si>
  <si>
    <t>Deudas</t>
  </si>
  <si>
    <t>Patrimonio</t>
  </si>
  <si>
    <t>Utilidad</t>
  </si>
  <si>
    <t>Inversión</t>
  </si>
  <si>
    <t>Activos circulantes</t>
  </si>
  <si>
    <t>Total de Activos</t>
  </si>
  <si>
    <t xml:space="preserve">Activos fijos </t>
  </si>
  <si>
    <t>Pas + Pat</t>
  </si>
  <si>
    <t>Total pasivos</t>
  </si>
  <si>
    <t>Tota patrimonio</t>
  </si>
  <si>
    <t>Retiros</t>
  </si>
  <si>
    <t>RETIRADO</t>
  </si>
  <si>
    <t>Retirado</t>
  </si>
  <si>
    <t>Proyectado</t>
  </si>
  <si>
    <t>Ingreso esperado</t>
  </si>
  <si>
    <t>Utilidad esperada</t>
  </si>
  <si>
    <t xml:space="preserve">UTILIDAD </t>
  </si>
  <si>
    <t>Utilidad antes del retiro</t>
  </si>
  <si>
    <t>Mes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</si>
  <si>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</si>
  <si>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</si>
  <si>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</si>
  <si>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</si>
  <si>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</si>
  <si>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</si>
  <si>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</si>
  <si>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</si>
  <si>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</si>
  <si>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</si>
  <si>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</si>
  <si>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</si>
  <si>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</si>
  <si>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Febrero</t>
  </si>
  <si>
    <t>Efectivo</t>
  </si>
  <si>
    <t>Débito</t>
  </si>
  <si>
    <t>Método</t>
  </si>
  <si>
    <t>Colchones XL</t>
  </si>
  <si>
    <t>Colchones L</t>
  </si>
  <si>
    <t>Colchones M</t>
  </si>
  <si>
    <t>Track ball cat toy</t>
  </si>
  <si>
    <t>Cat toothbrush</t>
  </si>
  <si>
    <t>Raton control remoto</t>
  </si>
  <si>
    <t>eating sport</t>
  </si>
  <si>
    <t>botella de agua</t>
  </si>
  <si>
    <t>correa manos libre</t>
  </si>
  <si>
    <t>Pack arnes talla S</t>
  </si>
  <si>
    <t>Pack arnes talla M</t>
  </si>
  <si>
    <t>Pack arnes talla L</t>
  </si>
  <si>
    <t>Pack arnes talla XL</t>
  </si>
  <si>
    <t>Pechera M</t>
  </si>
  <si>
    <t>Pechera L</t>
  </si>
  <si>
    <t>Collar gato mostacilla</t>
  </si>
  <si>
    <t>Collar de tela perro</t>
  </si>
  <si>
    <t>Correa de tela perro</t>
  </si>
  <si>
    <t>Cama S</t>
  </si>
  <si>
    <t>Cama M</t>
  </si>
  <si>
    <t>Cama L</t>
  </si>
  <si>
    <t>Cama XL</t>
  </si>
  <si>
    <t>COSTO VENDIDO</t>
  </si>
  <si>
    <t>ANÁLISIS SKU</t>
  </si>
  <si>
    <t>Costo vendido total</t>
  </si>
  <si>
    <t>COSTO FIJO</t>
  </si>
  <si>
    <t>ANALISIS DE STOCK</t>
  </si>
  <si>
    <t>INGRESO</t>
  </si>
  <si>
    <t>INGRESO TOTAL</t>
  </si>
  <si>
    <t>Producto</t>
  </si>
  <si>
    <t>skus</t>
  </si>
  <si>
    <t>CatBP</t>
  </si>
  <si>
    <t>Cat1</t>
  </si>
  <si>
    <t>Juguetes</t>
  </si>
  <si>
    <t>Gato</t>
  </si>
  <si>
    <t>Perro</t>
  </si>
  <si>
    <t>Accesorios</t>
  </si>
  <si>
    <t>gato</t>
  </si>
  <si>
    <t>Camas</t>
  </si>
  <si>
    <t>ARNES L</t>
  </si>
  <si>
    <t>CORREA L</t>
  </si>
  <si>
    <t>ARNES M</t>
  </si>
  <si>
    <t>CORREA M</t>
  </si>
  <si>
    <t>ARNES S</t>
  </si>
  <si>
    <t>CORREA S</t>
  </si>
  <si>
    <t>EMPAQUE CACA</t>
  </si>
  <si>
    <t>Collar entrenamiento</t>
  </si>
  <si>
    <t>Promocion instagram</t>
  </si>
  <si>
    <t>embalaje</t>
  </si>
  <si>
    <t>correa entrenamiento</t>
  </si>
  <si>
    <t>Promoción instagram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</si>
</sst>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 * #,##0_ ;_ * \-#,##0_ ;_ * &quot;-&quot;_ ;_ @_ "/>
    <numFmt numFmtId="164" formatCode="_-&quot;$&quot;\ * #,##0.00_-;\-&quot;$&quot;\ * #,##0.00_-;_-&quot;$&quot;\ * &quot;-&quot;??_-;_-@_-"/>
    <numFmt numFmtId="165" formatCode="_-[$$-340A]\ * #,##0_-;\-[$$-340A]\ * #,##0_-;_-[$$-340A]\ * &quot;-&quot;??_-;_-@_-"/>
    <numFmt numFmtId="166" formatCode="_-&quot;$&quot;\ * #,##0_-;\-&quot;$&quot;\ * #,##0_-;_-&quot;$&quot;\ * &quot;-&quot;??_-;_-@_-"/>
    <numFmt numFmtId="167" formatCode="0.0%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8"/>
      <color rgb="FF9C0006"/>
      <name val="Calibri"/>
      <family val="2"/>
      <scheme val="minor"/>
    </font>
    <font>
      <b/>
      <sz val="28"/>
      <color rgb="FF006100"/>
      <name val="Calibri"/>
      <family val="2"/>
      <scheme val="minor"/>
    </font>
    <font>
      <b/>
      <sz val="28"/>
      <color rgb="FF9C6500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0" applyNumberFormat="0" applyBorder="0" applyAlignment="0" applyProtection="0"/>
  </cellStyleXfs>
  <cellXfs count="157">
    <xf numFmtId="0" fontId="0" fillId="0" borderId="0" xfId="0"/>
    <xf numFmtId="14" fontId="0" fillId="0" borderId="0" xfId="0" applyNumberFormat="1"/>
    <xf numFmtId="166" fontId="0" fillId="0" borderId="0" xfId="1" applyNumberFormat="1" applyFont="1"/>
    <xf numFmtId="0" fontId="6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41" fontId="0" fillId="0" borderId="0" xfId="2" applyFont="1" applyAlignment="1">
      <alignment horizontal="center"/>
    </xf>
    <xf numFmtId="41" fontId="0" fillId="0" borderId="0" xfId="2" applyFont="1"/>
    <xf numFmtId="41" fontId="0" fillId="0" borderId="0" xfId="0" applyNumberFormat="1"/>
    <xf numFmtId="165" fontId="6" fillId="0" borderId="0" xfId="1" applyNumberFormat="1" applyFont="1" applyAlignment="1">
      <alignment horizontal="center"/>
    </xf>
    <xf numFmtId="0" fontId="0" fillId="0" borderId="4" xfId="0" applyBorder="1"/>
    <xf numFmtId="0" fontId="0" fillId="0" borderId="0" xfId="0" applyBorder="1" applyAlignment="1">
      <alignment horizontal="center"/>
    </xf>
    <xf numFmtId="41" fontId="0" fillId="0" borderId="0" xfId="2" applyFont="1" applyBorder="1"/>
    <xf numFmtId="0" fontId="0" fillId="0" borderId="6" xfId="0" applyBorder="1"/>
    <xf numFmtId="0" fontId="0" fillId="0" borderId="0" xfId="0" applyBorder="1"/>
    <xf numFmtId="14" fontId="0" fillId="0" borderId="0" xfId="0" applyNumberFormat="1" applyBorder="1"/>
    <xf numFmtId="0" fontId="0" fillId="0" borderId="9" xfId="0" applyBorder="1"/>
    <xf numFmtId="0" fontId="0" fillId="0" borderId="9" xfId="0" applyBorder="1" applyAlignment="1">
      <alignment horizontal="center"/>
    </xf>
    <xf numFmtId="41" fontId="0" fillId="0" borderId="9" xfId="2" applyFont="1" applyBorder="1"/>
    <xf numFmtId="41" fontId="6" fillId="0" borderId="0" xfId="2" applyFont="1"/>
    <xf numFmtId="41" fontId="0" fillId="0" borderId="9" xfId="0" applyNumberFormat="1" applyBorder="1"/>
    <xf numFmtId="167" fontId="0" fillId="0" borderId="0" xfId="3" applyNumberFormat="1" applyFont="1"/>
    <xf numFmtId="41" fontId="0" fillId="0" borderId="9" xfId="2" applyFont="1" applyBorder="1" applyAlignment="1">
      <alignment horizontal="center"/>
    </xf>
    <xf numFmtId="0" fontId="5" fillId="2" borderId="0" xfId="0" applyFont="1" applyFill="1" applyAlignment="1">
      <alignment vertical="center"/>
    </xf>
    <xf numFmtId="41" fontId="0" fillId="0" borderId="0" xfId="0" applyNumberFormat="1" applyAlignment="1">
      <alignment horizontal="center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41" fontId="5" fillId="2" borderId="0" xfId="0" applyNumberFormat="1" applyFont="1" applyFill="1"/>
    <xf numFmtId="0" fontId="7" fillId="6" borderId="0" xfId="0" applyFont="1" applyFill="1"/>
    <xf numFmtId="0" fontId="7" fillId="6" borderId="0" xfId="0" applyFont="1" applyFill="1" applyAlignment="1">
      <alignment horizontal="center"/>
    </xf>
    <xf numFmtId="41" fontId="5" fillId="6" borderId="0" xfId="0" applyNumberFormat="1" applyFont="1" applyFill="1"/>
    <xf numFmtId="10" fontId="5" fillId="2" borderId="0" xfId="3" applyNumberFormat="1" applyFont="1" applyFill="1"/>
    <xf numFmtId="0" fontId="5" fillId="7" borderId="0" xfId="0" applyFont="1" applyFill="1" applyAlignment="1">
      <alignment horizontal="center"/>
    </xf>
    <xf numFmtId="41" fontId="0" fillId="0" borderId="0" xfId="0" applyNumberFormat="1" applyBorder="1"/>
    <xf numFmtId="0" fontId="0" fillId="0" borderId="5" xfId="0" applyBorder="1"/>
    <xf numFmtId="0" fontId="6" fillId="0" borderId="4" xfId="0" applyFont="1" applyBorder="1" applyAlignment="1">
      <alignment horizontal="right"/>
    </xf>
    <xf numFmtId="0" fontId="0" fillId="0" borderId="7" xfId="0" applyBorder="1"/>
    <xf numFmtId="0" fontId="0" fillId="0" borderId="8" xfId="0" applyBorder="1"/>
    <xf numFmtId="41" fontId="5" fillId="2" borderId="0" xfId="2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41" fontId="0" fillId="0" borderId="10" xfId="0" applyNumberFormat="1" applyBorder="1"/>
    <xf numFmtId="41" fontId="0" fillId="0" borderId="11" xfId="0" applyNumberFormat="1" applyBorder="1"/>
    <xf numFmtId="41" fontId="5" fillId="7" borderId="0" xfId="2" applyFont="1" applyFill="1" applyAlignment="1">
      <alignment horizontal="center"/>
    </xf>
    <xf numFmtId="9" fontId="0" fillId="0" borderId="0" xfId="3" applyFont="1"/>
    <xf numFmtId="1" fontId="0" fillId="0" borderId="0" xfId="0" applyNumberFormat="1"/>
    <xf numFmtId="41" fontId="6" fillId="0" borderId="0" xfId="0" applyNumberFormat="1" applyFont="1" applyBorder="1"/>
    <xf numFmtId="0" fontId="6" fillId="0" borderId="15" xfId="0" applyFont="1" applyBorder="1"/>
    <xf numFmtId="0" fontId="6" fillId="0" borderId="0" xfId="0" applyFont="1" applyBorder="1"/>
    <xf numFmtId="0" fontId="0" fillId="0" borderId="16" xfId="0" applyBorder="1"/>
    <xf numFmtId="0" fontId="0" fillId="0" borderId="15" xfId="0" applyBorder="1"/>
    <xf numFmtId="41" fontId="0" fillId="0" borderId="16" xfId="0" applyNumberFormat="1" applyBorder="1"/>
    <xf numFmtId="0" fontId="5" fillId="9" borderId="17" xfId="0" applyFont="1" applyFill="1" applyBorder="1"/>
    <xf numFmtId="0" fontId="7" fillId="9" borderId="18" xfId="0" applyFont="1" applyFill="1" applyBorder="1"/>
    <xf numFmtId="0" fontId="5" fillId="9" borderId="18" xfId="0" applyFont="1" applyFill="1" applyBorder="1"/>
    <xf numFmtId="41" fontId="6" fillId="0" borderId="16" xfId="0" applyNumberFormat="1" applyFont="1" applyBorder="1"/>
    <xf numFmtId="41" fontId="5" fillId="9" borderId="18" xfId="0" applyNumberFormat="1" applyFont="1" applyFill="1" applyBorder="1"/>
    <xf numFmtId="41" fontId="5" fillId="9" borderId="19" xfId="0" applyNumberFormat="1" applyFont="1" applyFill="1" applyBorder="1"/>
    <xf numFmtId="166" fontId="0" fillId="0" borderId="0" xfId="1" applyNumberFormat="1" applyFont="1" applyAlignment="1">
      <alignment horizontal="center"/>
    </xf>
    <xf numFmtId="41" fontId="0" fillId="0" borderId="9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4" fillId="10" borderId="0" xfId="0" applyFont="1" applyFill="1" applyAlignment="1">
      <alignment horizontal="center"/>
    </xf>
    <xf numFmtId="41" fontId="14" fillId="10" borderId="0" xfId="0" applyNumberFormat="1" applyFont="1" applyFill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41" fontId="0" fillId="0" borderId="0" xfId="2" applyFont="1" applyBorder="1" applyAlignment="1">
      <alignment horizontal="center"/>
    </xf>
    <xf numFmtId="41" fontId="0" fillId="0" borderId="0" xfId="0" applyNumberFormat="1" applyBorder="1" applyAlignment="1">
      <alignment horizontal="center"/>
    </xf>
    <xf numFmtId="41" fontId="0" fillId="0" borderId="5" xfId="0" applyNumberFormat="1" applyBorder="1"/>
    <xf numFmtId="41" fontId="0" fillId="0" borderId="8" xfId="0" applyNumberFormat="1" applyBorder="1"/>
    <xf numFmtId="41" fontId="0" fillId="0" borderId="5" xfId="2" applyFont="1" applyBorder="1" applyAlignment="1">
      <alignment horizontal="center"/>
    </xf>
    <xf numFmtId="0" fontId="6" fillId="0" borderId="4" xfId="0" applyFont="1" applyFill="1" applyBorder="1" applyAlignment="1">
      <alignment horizontal="right"/>
    </xf>
    <xf numFmtId="41" fontId="6" fillId="0" borderId="9" xfId="0" applyNumberFormat="1" applyFont="1" applyBorder="1"/>
    <xf numFmtId="41" fontId="0" fillId="0" borderId="7" xfId="0" applyNumberFormat="1" applyBorder="1"/>
    <xf numFmtId="0" fontId="5" fillId="2" borderId="0" xfId="0" applyFont="1" applyFill="1" applyAlignment="1">
      <alignment horizontal="right" vertical="center"/>
    </xf>
    <xf numFmtId="0" fontId="6" fillId="0" borderId="10" xfId="0" applyFont="1" applyFill="1" applyBorder="1" applyAlignment="1">
      <alignment horizontal="right"/>
    </xf>
    <xf numFmtId="0" fontId="6" fillId="0" borderId="11" xfId="0" applyFont="1" applyFill="1" applyBorder="1" applyAlignment="1">
      <alignment horizontal="right"/>
    </xf>
    <xf numFmtId="0" fontId="0" fillId="0" borderId="0" xfId="0" applyFill="1" applyAlignment="1">
      <alignment horizontal="center"/>
    </xf>
    <xf numFmtId="166" fontId="0" fillId="11" borderId="0" xfId="1" applyNumberFormat="1" applyFont="1" applyFill="1"/>
    <xf numFmtId="0" fontId="5" fillId="2" borderId="0" xfId="0" applyFont="1" applyFill="1" applyAlignment="1">
      <alignment horizontal="center" vertical="center"/>
    </xf>
    <xf numFmtId="41" fontId="6" fillId="0" borderId="0" xfId="2" applyFont="1" applyBorder="1"/>
    <xf numFmtId="0" fontId="6" fillId="0" borderId="4" xfId="0" applyFont="1" applyBorder="1"/>
    <xf numFmtId="0" fontId="0" fillId="11" borderId="0" xfId="0" applyFill="1"/>
    <xf numFmtId="0" fontId="0" fillId="11" borderId="4" xfId="0" applyFill="1" applyBorder="1"/>
    <xf numFmtId="41" fontId="0" fillId="11" borderId="0" xfId="2" applyFont="1" applyFill="1" applyBorder="1"/>
    <xf numFmtId="0" fontId="0" fillId="11" borderId="0" xfId="0" applyFill="1" applyBorder="1"/>
    <xf numFmtId="41" fontId="0" fillId="11" borderId="5" xfId="0" applyNumberFormat="1" applyFill="1" applyBorder="1"/>
    <xf numFmtId="0" fontId="0" fillId="11" borderId="5" xfId="0" applyFill="1" applyBorder="1"/>
    <xf numFmtId="167" fontId="0" fillId="0" borderId="0" xfId="3" applyNumberFormat="1" applyFont="1" applyBorder="1"/>
    <xf numFmtId="167" fontId="0" fillId="0" borderId="5" xfId="3" applyNumberFormat="1" applyFont="1" applyBorder="1"/>
    <xf numFmtId="9" fontId="0" fillId="0" borderId="5" xfId="3" applyFont="1" applyBorder="1"/>
    <xf numFmtId="0" fontId="6" fillId="0" borderId="5" xfId="0" applyFont="1" applyBorder="1"/>
    <xf numFmtId="41" fontId="0" fillId="0" borderId="5" xfId="2" applyFont="1" applyBorder="1"/>
    <xf numFmtId="9" fontId="0" fillId="0" borderId="0" xfId="3" applyFont="1" applyBorder="1"/>
    <xf numFmtId="0" fontId="0" fillId="0" borderId="0" xfId="0" applyAlignment="1">
      <alignment horizontal="left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0" fillId="0" borderId="15" xfId="0" applyBorder="1" applyAlignment="1">
      <alignment horizontal="left"/>
    </xf>
    <xf numFmtId="0" fontId="0" fillId="0" borderId="0" xfId="0" applyFill="1"/>
    <xf numFmtId="167" fontId="5" fillId="2" borderId="0" xfId="0" applyNumberFormat="1" applyFont="1" applyFill="1" applyAlignment="1">
      <alignment vertical="center"/>
    </xf>
    <xf numFmtId="41" fontId="5" fillId="2" borderId="0" xfId="0" applyNumberFormat="1" applyFont="1" applyFill="1" applyAlignment="1">
      <alignment vertical="center"/>
    </xf>
    <xf numFmtId="14" fontId="20" fillId="0" borderId="20" xfId="0" applyNumberFormat="1" applyFont="1" applyBorder="1" applyAlignment="1">
      <alignment horizontal="right" wrapText="1"/>
    </xf>
    <xf numFmtId="0" fontId="20" fillId="0" borderId="20" xfId="0" applyFont="1" applyBorder="1" applyAlignment="1">
      <alignment horizontal="right" wrapText="1"/>
    </xf>
    <xf numFmtId="0" fontId="20" fillId="0" borderId="21" xfId="0" applyFont="1" applyFill="1" applyBorder="1" applyAlignment="1">
      <alignment horizontal="right" wrapText="1"/>
    </xf>
    <xf numFmtId="14" fontId="20" fillId="0" borderId="0" xfId="0" applyNumberFormat="1" applyFont="1"/>
    <xf numFmtId="0" fontId="0" fillId="11" borderId="1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0" fillId="11" borderId="0" xfId="0" applyFill="1" applyAlignment="1">
      <alignment horizontal="center"/>
    </xf>
    <xf numFmtId="0" fontId="19" fillId="11" borderId="1" xfId="0" applyFont="1" applyFill="1" applyBorder="1" applyAlignment="1">
      <alignment horizontal="center"/>
    </xf>
    <xf numFmtId="0" fontId="19" fillId="11" borderId="2" xfId="0" applyFont="1" applyFill="1" applyBorder="1" applyAlignment="1">
      <alignment horizontal="center"/>
    </xf>
    <xf numFmtId="0" fontId="19" fillId="11" borderId="3" xfId="0" applyFont="1" applyFill="1" applyBorder="1" applyAlignment="1">
      <alignment horizontal="center"/>
    </xf>
    <xf numFmtId="0" fontId="19" fillId="11" borderId="4" xfId="0" applyFont="1" applyFill="1" applyBorder="1" applyAlignment="1">
      <alignment horizontal="center"/>
    </xf>
    <xf numFmtId="0" fontId="19" fillId="11" borderId="0" xfId="0" applyFont="1" applyFill="1" applyBorder="1" applyAlignment="1">
      <alignment horizontal="center"/>
    </xf>
    <xf numFmtId="0" fontId="19" fillId="11" borderId="5" xfId="0" applyFont="1" applyFill="1" applyBorder="1" applyAlignment="1">
      <alignment horizontal="center"/>
    </xf>
    <xf numFmtId="0" fontId="18" fillId="11" borderId="1" xfId="0" applyFont="1" applyFill="1" applyBorder="1" applyAlignment="1">
      <alignment horizontal="center"/>
    </xf>
    <xf numFmtId="0" fontId="18" fillId="11" borderId="2" xfId="0" applyFont="1" applyFill="1" applyBorder="1" applyAlignment="1">
      <alignment horizontal="center"/>
    </xf>
    <xf numFmtId="0" fontId="18" fillId="11" borderId="3" xfId="0" applyFont="1" applyFill="1" applyBorder="1" applyAlignment="1">
      <alignment horizontal="center"/>
    </xf>
    <xf numFmtId="0" fontId="18" fillId="11" borderId="4" xfId="0" applyFont="1" applyFill="1" applyBorder="1" applyAlignment="1">
      <alignment horizontal="center"/>
    </xf>
    <xf numFmtId="0" fontId="18" fillId="11" borderId="0" xfId="0" applyFont="1" applyFill="1" applyBorder="1" applyAlignment="1">
      <alignment horizontal="center"/>
    </xf>
    <xf numFmtId="0" fontId="18" fillId="11" borderId="5" xfId="0" applyFont="1" applyFill="1" applyBorder="1" applyAlignment="1">
      <alignment horizontal="center"/>
    </xf>
    <xf numFmtId="0" fontId="19" fillId="11" borderId="0" xfId="0" applyFont="1" applyFill="1" applyAlignment="1">
      <alignment horizontal="center"/>
    </xf>
    <xf numFmtId="0" fontId="18" fillId="11" borderId="0" xfId="0" applyFont="1" applyFill="1" applyAlignment="1">
      <alignment horizontal="center"/>
    </xf>
    <xf numFmtId="0" fontId="8" fillId="4" borderId="0" xfId="5" applyFont="1" applyAlignment="1">
      <alignment horizontal="center" vertical="center"/>
    </xf>
    <xf numFmtId="0" fontId="9" fillId="3" borderId="0" xfId="4" applyFont="1" applyAlignment="1">
      <alignment horizontal="center" vertical="center"/>
    </xf>
    <xf numFmtId="0" fontId="10" fillId="5" borderId="0" xfId="6" applyFont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7" fillId="8" borderId="0" xfId="0" applyFont="1" applyFill="1" applyBorder="1" applyAlignment="1">
      <alignment horizontal="right" vertical="center"/>
    </xf>
    <xf numFmtId="0" fontId="17" fillId="8" borderId="7" xfId="0" applyFont="1" applyFill="1" applyBorder="1" applyAlignment="1">
      <alignment horizontal="right" vertical="center"/>
    </xf>
    <xf numFmtId="0" fontId="17" fillId="8" borderId="0" xfId="0" applyFont="1" applyFill="1" applyBorder="1" applyAlignment="1">
      <alignment horizontal="left" vertical="center"/>
    </xf>
    <xf numFmtId="0" fontId="17" fillId="8" borderId="7" xfId="0" applyFont="1" applyFill="1" applyBorder="1" applyAlignment="1">
      <alignment horizontal="left" vertical="center"/>
    </xf>
    <xf numFmtId="0" fontId="5" fillId="7" borderId="0" xfId="0" applyFont="1" applyFill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0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12" fillId="9" borderId="12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14" xfId="0" applyFont="1" applyFill="1" applyBorder="1" applyAlignment="1">
      <alignment horizontal="center" vertical="center"/>
    </xf>
    <xf numFmtId="0" fontId="12" fillId="9" borderId="15" xfId="0" applyFont="1" applyFill="1" applyBorder="1" applyAlignment="1">
      <alignment horizontal="center" vertical="center"/>
    </xf>
    <xf numFmtId="0" fontId="12" fillId="9" borderId="0" xfId="0" applyFont="1" applyFill="1" applyBorder="1" applyAlignment="1">
      <alignment horizontal="center" vertical="center"/>
    </xf>
    <xf numFmtId="0" fontId="12" fillId="9" borderId="16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</cellXfs>
  <cellStyles count="7">
    <cellStyle name="Buena" xfId="4" builtinId="26"/>
    <cellStyle name="Incorrecto" xfId="5" builtinId="27"/>
    <cellStyle name="Millares [0]" xfId="2" builtinId="6"/>
    <cellStyle name="Moneda" xfId="1" builtinId="4"/>
    <cellStyle name="Neutral" xfId="6" builtinId="28"/>
    <cellStyle name="Normal" xfId="0" builtinId="0"/>
    <cellStyle name="Porcentaje" xfId="3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Share</a:t>
            </a:r>
            <a:r>
              <a:rPr lang="en-US" b="1" baseline="0"/>
              <a:t> por tallas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'analitics (monthly)'!$AX$5</c:f>
              <c:strCache>
                <c:ptCount val="1"/>
                <c:pt idx="0">
                  <c:v>Ingreso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18E-4067-BC30-CBE7A6368B8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18E-4067-BC30-CBE7A6368B8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18E-4067-BC30-CBE7A6368B8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518E-4067-BC30-CBE7A6368B8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348-4F22-847B-F6EA09F05BF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2348-4F22-847B-F6EA09F05BF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2348-4F22-847B-F6EA09F05BF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'analitics (monthly)'!$AW$6:$AW$12</c:f>
              <c:strCache>
                <c:ptCount val="7"/>
                <c:pt idx="0">
                  <c:v>S</c:v>
                </c:pt>
                <c:pt idx="1">
                  <c:v>M</c:v>
                </c:pt>
                <c:pt idx="2">
                  <c:v>L</c:v>
                </c:pt>
                <c:pt idx="3">
                  <c:v>XL</c:v>
                </c:pt>
                <c:pt idx="4">
                  <c:v>Colchones XL</c:v>
                </c:pt>
                <c:pt idx="5">
                  <c:v>Colchones L</c:v>
                </c:pt>
                <c:pt idx="6">
                  <c:v>Colchones M</c:v>
                </c:pt>
              </c:strCache>
            </c:strRef>
          </c:cat>
          <c:val>
            <c:numRef>
              <c:f>'analitics (monthly)'!$AX$6:$AX$12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518E-4067-BC30-CBE7A6368B8C}"/>
            </c:ext>
          </c:extLst>
        </c:ser>
        <c:ser>
          <c:idx val="1"/>
          <c:order val="1"/>
          <c:tx>
            <c:strRef>
              <c:f>'analitics (monthly)'!$AY$5</c:f>
              <c:strCache>
                <c:ptCount val="1"/>
                <c:pt idx="0">
                  <c:v>% ingreso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518E-4067-BC30-CBE7A6368B8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518E-4067-BC30-CBE7A6368B8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518E-4067-BC30-CBE7A6368B8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518E-4067-BC30-CBE7A6368B8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2348-4F22-847B-F6EA09F05BF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2348-4F22-847B-F6EA09F05BF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2348-4F22-847B-F6EA09F05BF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'analitics (monthly)'!$AW$6:$AW$12</c:f>
              <c:strCache>
                <c:ptCount val="7"/>
                <c:pt idx="0">
                  <c:v>S</c:v>
                </c:pt>
                <c:pt idx="1">
                  <c:v>M</c:v>
                </c:pt>
                <c:pt idx="2">
                  <c:v>L</c:v>
                </c:pt>
                <c:pt idx="3">
                  <c:v>XL</c:v>
                </c:pt>
                <c:pt idx="4">
                  <c:v>Colchones XL</c:v>
                </c:pt>
                <c:pt idx="5">
                  <c:v>Colchones L</c:v>
                </c:pt>
                <c:pt idx="6">
                  <c:v>Colchones M</c:v>
                </c:pt>
              </c:strCache>
            </c:strRef>
          </c:cat>
          <c:val>
            <c:numRef>
              <c:f>'analitics (monthly)'!$AY$6:$AY$12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518E-4067-BC30-CBE7A6368B8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Ventas totales por medio de pago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8C2-4299-B33E-8320DF069F1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8C2-4299-B33E-8320DF069F1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'analitics (monthly)'!$A$8:$A$9</c:f>
              <c:strCache>
                <c:ptCount val="2"/>
                <c:pt idx="0">
                  <c:v>EFECTIVO</c:v>
                </c:pt>
                <c:pt idx="1">
                  <c:v>DEBITO</c:v>
                </c:pt>
              </c:strCache>
            </c:strRef>
          </c:cat>
          <c:val>
            <c:numRef>
              <c:f>'analitics (monthly)'!$B$8:$B$9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8C2-4299-B33E-8320DF069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464820</xdr:colOff>
          <xdr:row>0</xdr:row>
          <xdr:rowOff>0</xdr:rowOff>
        </xdr:from>
        <xdr:to>
          <xdr:col>8</xdr:col>
          <xdr:colOff>175260</xdr:colOff>
          <xdr:row>15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</xdr:colOff>
          <xdr:row>0</xdr:row>
          <xdr:rowOff>137160</xdr:rowOff>
        </xdr:from>
        <xdr:to>
          <xdr:col>8</xdr:col>
          <xdr:colOff>525780</xdr:colOff>
          <xdr:row>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xmlns="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Ingresar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</xdr:colOff>
          <xdr:row>0</xdr:row>
          <xdr:rowOff>30480</xdr:rowOff>
        </xdr:from>
        <xdr:to>
          <xdr:col>18</xdr:col>
          <xdr:colOff>533400</xdr:colOff>
          <xdr:row>4</xdr:row>
          <xdr:rowOff>38100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xmlns="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Ingresar datos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434340</xdr:colOff>
      <xdr:row>44</xdr:row>
      <xdr:rowOff>76200</xdr:rowOff>
    </xdr:from>
    <xdr:to>
      <xdr:col>3</xdr:col>
      <xdr:colOff>777240</xdr:colOff>
      <xdr:row>45</xdr:row>
      <xdr:rowOff>106680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434340" y="8153400"/>
          <a:ext cx="2537460" cy="2133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C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21</xdr:row>
          <xdr:rowOff>0</xdr:rowOff>
        </xdr:from>
        <xdr:to>
          <xdr:col>8</xdr:col>
          <xdr:colOff>388620</xdr:colOff>
          <xdr:row>24</xdr:row>
          <xdr:rowOff>175260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xmlns="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Ingresar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152401</xdr:colOff>
      <xdr:row>7</xdr:row>
      <xdr:rowOff>145260</xdr:rowOff>
    </xdr:from>
    <xdr:to>
      <xdr:col>16</xdr:col>
      <xdr:colOff>76201</xdr:colOff>
      <xdr:row>25</xdr:row>
      <xdr:rowOff>47628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133350</xdr:colOff>
      <xdr:row>26</xdr:row>
      <xdr:rowOff>9526</xdr:rowOff>
    </xdr:from>
    <xdr:to>
      <xdr:col>16</xdr:col>
      <xdr:colOff>76200</xdr:colOff>
      <xdr:row>41</xdr:row>
      <xdr:rowOff>123826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746760</xdr:colOff>
          <xdr:row>0</xdr:row>
          <xdr:rowOff>167640</xdr:rowOff>
        </xdr:from>
        <xdr:to>
          <xdr:col>22</xdr:col>
          <xdr:colOff>373380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ingresos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723900</xdr:colOff>
          <xdr:row>4</xdr:row>
          <xdr:rowOff>137160</xdr:rowOff>
        </xdr:from>
        <xdr:to>
          <xdr:col>22</xdr:col>
          <xdr:colOff>358140</xdr:colOff>
          <xdr:row>7</xdr:row>
          <xdr:rowOff>91440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costos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716280</xdr:colOff>
          <xdr:row>8</xdr:row>
          <xdr:rowOff>91440</xdr:rowOff>
        </xdr:from>
        <xdr:to>
          <xdr:col>22</xdr:col>
          <xdr:colOff>358140</xdr:colOff>
          <xdr:row>11</xdr:row>
          <xdr:rowOff>22860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xmlns="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otros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0</xdr:row>
          <xdr:rowOff>7620</xdr:rowOff>
        </xdr:from>
        <xdr:to>
          <xdr:col>8</xdr:col>
          <xdr:colOff>632460</xdr:colOff>
          <xdr:row>49</xdr:row>
          <xdr:rowOff>167640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0</xdr:row>
          <xdr:rowOff>0</xdr:rowOff>
        </xdr:from>
        <xdr:to>
          <xdr:col>8</xdr:col>
          <xdr:colOff>670560</xdr:colOff>
          <xdr:row>38</xdr:row>
          <xdr:rowOff>30480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9"/>
  <sheetViews>
    <sheetView topLeftCell="A2" workbookViewId="0">
      <selection activeCell="B29" sqref="B29:C29"/>
    </sheetView>
  </sheetViews>
  <sheetFormatPr baseColWidth="10" defaultColWidth="11.44140625" defaultRowHeight="14.4" x14ac:dyDescent="0.3"/>
  <cols>
    <col min="5" max="5" width="14.33203125" bestFit="1" customWidth="1"/>
  </cols>
  <sheetData>
    <row r="1" spans="1:8" x14ac:dyDescent="0.3">
      <c r="A1" s="3" t="s">
        <v>138</v>
      </c>
      <c r="B1" s="3" t="s">
        <v>139</v>
      </c>
      <c r="C1" s="3" t="s">
        <v>140</v>
      </c>
      <c r="E1" s="3" t="s">
        <v>16</v>
      </c>
      <c r="H1" s="3" t="s">
        <v>38</v>
      </c>
    </row>
    <row r="2" spans="1:8" x14ac:dyDescent="0.3">
      <c r="A2" t="s">
        <v>111</v>
      </c>
      <c r="B2" t="s">
        <v>141</v>
      </c>
      <c r="C2" t="s">
        <v>142</v>
      </c>
      <c r="E2" t="s">
        <v>17</v>
      </c>
      <c r="H2" t="s">
        <v>24</v>
      </c>
    </row>
    <row r="3" spans="1:8" x14ac:dyDescent="0.3">
      <c r="A3" t="s">
        <v>112</v>
      </c>
      <c r="B3" t="s">
        <v>141</v>
      </c>
      <c r="C3" t="s">
        <v>142</v>
      </c>
      <c r="E3" t="s">
        <v>18</v>
      </c>
      <c r="H3" t="s">
        <v>39</v>
      </c>
    </row>
    <row r="4" spans="1:8" x14ac:dyDescent="0.3">
      <c r="A4" t="s">
        <v>113</v>
      </c>
      <c r="B4" t="s">
        <v>141</v>
      </c>
      <c r="C4" t="s">
        <v>142</v>
      </c>
    </row>
    <row r="5" spans="1:8" x14ac:dyDescent="0.3">
      <c r="A5" t="s">
        <v>114</v>
      </c>
      <c r="B5" t="s">
        <v>141</v>
      </c>
      <c r="C5" t="s">
        <v>143</v>
      </c>
    </row>
    <row r="6" spans="1:8" x14ac:dyDescent="0.3">
      <c r="A6" t="s">
        <v>115</v>
      </c>
      <c r="B6" t="s">
        <v>141</v>
      </c>
      <c r="C6" t="s">
        <v>143</v>
      </c>
    </row>
    <row r="7" spans="1:8" x14ac:dyDescent="0.3">
      <c r="A7" t="s">
        <v>116</v>
      </c>
      <c r="B7" t="s">
        <v>144</v>
      </c>
      <c r="C7" t="s">
        <v>143</v>
      </c>
    </row>
    <row r="8" spans="1:8" x14ac:dyDescent="0.3">
      <c r="A8" t="s">
        <v>117</v>
      </c>
      <c r="B8" t="s">
        <v>144</v>
      </c>
      <c r="C8" t="s">
        <v>143</v>
      </c>
    </row>
    <row r="9" spans="1:8" x14ac:dyDescent="0.3">
      <c r="A9" t="s">
        <v>118</v>
      </c>
      <c r="B9" t="s">
        <v>144</v>
      </c>
      <c r="C9" t="s">
        <v>143</v>
      </c>
    </row>
    <row r="10" spans="1:8" x14ac:dyDescent="0.3">
      <c r="A10" t="s">
        <v>119</v>
      </c>
      <c r="B10" t="s">
        <v>144</v>
      </c>
      <c r="C10" t="s">
        <v>143</v>
      </c>
    </row>
    <row r="11" spans="1:8" x14ac:dyDescent="0.3">
      <c r="A11" t="s">
        <v>120</v>
      </c>
      <c r="B11" t="s">
        <v>144</v>
      </c>
      <c r="C11" t="s">
        <v>143</v>
      </c>
    </row>
    <row r="12" spans="1:8" x14ac:dyDescent="0.3">
      <c r="A12" t="s">
        <v>121</v>
      </c>
      <c r="B12" t="s">
        <v>144</v>
      </c>
      <c r="C12" t="s">
        <v>143</v>
      </c>
    </row>
    <row r="13" spans="1:8" x14ac:dyDescent="0.3">
      <c r="A13" t="s">
        <v>122</v>
      </c>
      <c r="B13" t="s">
        <v>144</v>
      </c>
      <c r="C13" t="s">
        <v>143</v>
      </c>
    </row>
    <row r="14" spans="1:8" x14ac:dyDescent="0.3">
      <c r="A14" t="s">
        <v>123</v>
      </c>
      <c r="B14" t="s">
        <v>144</v>
      </c>
      <c r="C14" t="s">
        <v>145</v>
      </c>
    </row>
    <row r="15" spans="1:8" x14ac:dyDescent="0.3">
      <c r="A15" t="s">
        <v>124</v>
      </c>
      <c r="B15" t="s">
        <v>144</v>
      </c>
      <c r="C15" t="s">
        <v>143</v>
      </c>
    </row>
    <row r="16" spans="1:8" x14ac:dyDescent="0.3">
      <c r="A16" t="s">
        <v>125</v>
      </c>
      <c r="B16" t="s">
        <v>144</v>
      </c>
      <c r="C16" t="s">
        <v>143</v>
      </c>
    </row>
    <row r="17" spans="1:3" x14ac:dyDescent="0.3">
      <c r="A17" t="s">
        <v>126</v>
      </c>
      <c r="B17" t="s">
        <v>146</v>
      </c>
      <c r="C17" t="s">
        <v>143</v>
      </c>
    </row>
    <row r="18" spans="1:3" x14ac:dyDescent="0.3">
      <c r="A18" t="s">
        <v>127</v>
      </c>
      <c r="B18" t="s">
        <v>146</v>
      </c>
      <c r="C18" t="s">
        <v>143</v>
      </c>
    </row>
    <row r="19" spans="1:3" x14ac:dyDescent="0.3">
      <c r="A19" t="s">
        <v>128</v>
      </c>
      <c r="B19" t="s">
        <v>146</v>
      </c>
      <c r="C19" t="s">
        <v>143</v>
      </c>
    </row>
    <row r="20" spans="1:3" x14ac:dyDescent="0.3">
      <c r="A20" t="s">
        <v>129</v>
      </c>
      <c r="B20" t="s">
        <v>146</v>
      </c>
      <c r="C20" t="s">
        <v>143</v>
      </c>
    </row>
    <row r="21" spans="1:3" x14ac:dyDescent="0.3">
      <c r="A21" t="s">
        <v>147</v>
      </c>
      <c r="B21" t="s">
        <v>144</v>
      </c>
      <c r="C21" t="s">
        <v>143</v>
      </c>
    </row>
    <row r="22" spans="1:3" x14ac:dyDescent="0.3">
      <c r="A22" t="s">
        <v>148</v>
      </c>
      <c r="B22" t="s">
        <v>144</v>
      </c>
      <c r="C22" t="s">
        <v>143</v>
      </c>
    </row>
    <row r="23" spans="1:3" x14ac:dyDescent="0.3">
      <c r="A23" t="s">
        <v>149</v>
      </c>
      <c r="B23" t="s">
        <v>144</v>
      </c>
      <c r="C23" t="s">
        <v>143</v>
      </c>
    </row>
    <row r="24" spans="1:3" x14ac:dyDescent="0.3">
      <c r="A24" t="s">
        <v>150</v>
      </c>
      <c r="B24" t="s">
        <v>144</v>
      </c>
      <c r="C24" t="s">
        <v>143</v>
      </c>
    </row>
    <row r="25" spans="1:3" x14ac:dyDescent="0.3">
      <c r="A25" t="s">
        <v>151</v>
      </c>
      <c r="B25" t="s">
        <v>144</v>
      </c>
      <c r="C25" t="s">
        <v>143</v>
      </c>
    </row>
    <row r="26" spans="1:3" x14ac:dyDescent="0.3">
      <c r="A26" t="s">
        <v>152</v>
      </c>
      <c r="B26" t="s">
        <v>144</v>
      </c>
      <c r="C26" t="s">
        <v>143</v>
      </c>
    </row>
    <row r="27" spans="1:3" x14ac:dyDescent="0.3">
      <c r="A27" t="s">
        <v>153</v>
      </c>
      <c r="B27" t="s">
        <v>144</v>
      </c>
      <c r="C27" t="s">
        <v>143</v>
      </c>
    </row>
    <row r="28" spans="1:3" x14ac:dyDescent="0.3">
      <c r="A28" t="s">
        <v>154</v>
      </c>
      <c r="B28" t="s">
        <v>144</v>
      </c>
      <c r="C28" t="s">
        <v>143</v>
      </c>
    </row>
    <row r="29" spans="1:3" x14ac:dyDescent="0.3">
      <c r="A29" t="s">
        <v>157</v>
      </c>
      <c r="B29" t="s">
        <v>144</v>
      </c>
      <c r="C29" t="s">
        <v>143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J50"/>
  <sheetViews>
    <sheetView topLeftCell="AJ11" zoomScaleNormal="100" workbookViewId="0">
      <selection activeCell="AE35" sqref="AE35"/>
    </sheetView>
  </sheetViews>
  <sheetFormatPr baseColWidth="10" defaultColWidth="11.44140625" defaultRowHeight="14.4" x14ac:dyDescent="0.3"/>
  <cols>
    <col min="7" max="7" width="11.44140625" style="10"/>
    <col min="8" max="8" width="11.44140625" style="14"/>
    <col min="9" max="9" width="14.109375" style="14" bestFit="1" customWidth="1"/>
    <col min="10" max="10" width="11.44140625" style="34"/>
    <col min="14" max="14" width="11.44140625" style="10"/>
    <col min="15" max="16" width="11.44140625" style="14"/>
    <col min="17" max="17" width="11.44140625" style="34"/>
    <col min="22" max="22" width="11.44140625" style="10"/>
    <col min="23" max="23" width="11.44140625" style="14"/>
    <col min="24" max="24" width="11.44140625" style="34"/>
    <col min="29" max="29" width="11.44140625" style="10"/>
    <col min="30" max="31" width="11.44140625" style="14"/>
    <col min="32" max="32" width="11.44140625" style="34"/>
    <col min="36" max="36" width="11.44140625" style="10"/>
    <col min="37" max="37" width="11.44140625" style="34"/>
    <col min="40" max="40" width="11.44140625" style="10"/>
    <col min="41" max="42" width="11.44140625" style="14"/>
    <col min="43" max="43" width="11.44140625" style="34"/>
    <col min="48" max="48" width="11.44140625" style="10"/>
    <col min="49" max="54" width="11.44140625" style="14"/>
    <col min="55" max="55" width="11.44140625" style="34"/>
  </cols>
  <sheetData>
    <row r="1" spans="1:62" x14ac:dyDescent="0.3">
      <c r="G1" s="114" t="s">
        <v>22</v>
      </c>
      <c r="H1" s="115"/>
      <c r="I1" s="115"/>
      <c r="J1" s="116"/>
      <c r="N1" s="120" t="s">
        <v>130</v>
      </c>
      <c r="O1" s="121"/>
      <c r="P1" s="121"/>
      <c r="Q1" s="122"/>
      <c r="V1" s="114" t="s">
        <v>31</v>
      </c>
      <c r="W1" s="115"/>
      <c r="X1" s="116"/>
      <c r="AC1" s="114" t="s">
        <v>27</v>
      </c>
      <c r="AD1" s="115"/>
      <c r="AE1" s="115"/>
      <c r="AF1" s="116"/>
      <c r="AJ1" s="114" t="s">
        <v>37</v>
      </c>
      <c r="AK1" s="116"/>
      <c r="AN1" s="114" t="s">
        <v>14</v>
      </c>
      <c r="AO1" s="115"/>
      <c r="AP1" s="115"/>
      <c r="AQ1" s="116"/>
      <c r="AV1" s="107" t="s">
        <v>131</v>
      </c>
      <c r="AW1" s="108"/>
      <c r="AX1" s="108"/>
      <c r="AY1" s="108"/>
      <c r="AZ1" s="108"/>
      <c r="BA1" s="108"/>
      <c r="BB1" s="108"/>
      <c r="BC1" s="109"/>
      <c r="BH1" s="113" t="s">
        <v>133</v>
      </c>
      <c r="BI1" s="113"/>
      <c r="BJ1" s="113"/>
    </row>
    <row r="2" spans="1:62" x14ac:dyDescent="0.3">
      <c r="A2" t="s">
        <v>26</v>
      </c>
      <c r="B2" t="s">
        <v>26</v>
      </c>
      <c r="G2" s="117"/>
      <c r="H2" s="118"/>
      <c r="I2" s="118"/>
      <c r="J2" s="119"/>
      <c r="N2" s="123"/>
      <c r="O2" s="124"/>
      <c r="P2" s="124"/>
      <c r="Q2" s="125"/>
      <c r="V2" s="117"/>
      <c r="W2" s="118"/>
      <c r="X2" s="119"/>
      <c r="AC2" s="117"/>
      <c r="AD2" s="118"/>
      <c r="AE2" s="118"/>
      <c r="AF2" s="119"/>
      <c r="AJ2" s="117"/>
      <c r="AK2" s="119"/>
      <c r="AN2" s="117"/>
      <c r="AO2" s="118"/>
      <c r="AP2" s="118"/>
      <c r="AQ2" s="119"/>
      <c r="AV2" s="110"/>
      <c r="AW2" s="111"/>
      <c r="AX2" s="111"/>
      <c r="AY2" s="111"/>
      <c r="AZ2" s="111"/>
      <c r="BA2" s="111"/>
      <c r="BB2" s="111"/>
      <c r="BC2" s="112"/>
      <c r="BH2" s="113"/>
      <c r="BI2" s="113"/>
      <c r="BJ2" s="113"/>
    </row>
    <row r="3" spans="1:62" x14ac:dyDescent="0.3">
      <c r="A3" t="s">
        <v>18</v>
      </c>
      <c r="B3" s="19">
        <f>SUMIF(Income!E:E,analitics!A3,Income!F:F)</f>
        <v>0</v>
      </c>
      <c r="C3" s="7"/>
      <c r="G3" s="10" t="s">
        <v>22</v>
      </c>
      <c r="H3" s="81">
        <f>SUM(Income!F:F)</f>
        <v>1553499</v>
      </c>
      <c r="I3" s="48">
        <f>SUM(Income!D:D)</f>
        <v>86</v>
      </c>
      <c r="N3" s="10" t="s">
        <v>132</v>
      </c>
      <c r="Q3" s="69">
        <f>SUM(Q4:Q50)</f>
        <v>553485.88916459889</v>
      </c>
      <c r="Z3" s="8">
        <f>AD3-Q3</f>
        <v>253524.11083540111</v>
      </c>
      <c r="AC3" s="10" t="s">
        <v>27</v>
      </c>
      <c r="AD3" s="81">
        <f>SUM(Stock!F:F)</f>
        <v>807010</v>
      </c>
      <c r="AJ3" s="10" t="s">
        <v>37</v>
      </c>
      <c r="AV3" s="82" t="s">
        <v>23</v>
      </c>
      <c r="AW3" s="33">
        <f>SUM(AW5:AW50)</f>
        <v>1553499</v>
      </c>
      <c r="AZ3" s="33">
        <f>SUM(AZ5:AZ50)</f>
        <v>1553499</v>
      </c>
      <c r="BA3" s="14" t="s">
        <v>5</v>
      </c>
      <c r="BB3" s="33">
        <f>SUM(BB5:BB50)</f>
        <v>553485.88916459889</v>
      </c>
      <c r="BC3" s="69">
        <f>AZ3-BB3</f>
        <v>1000013.1108354011</v>
      </c>
      <c r="BI3">
        <f>SUM(BI5:BI8)</f>
        <v>7</v>
      </c>
      <c r="BJ3" s="19">
        <f>SUM(BJ5:BJ8)</f>
        <v>0</v>
      </c>
    </row>
    <row r="4" spans="1:62" x14ac:dyDescent="0.3">
      <c r="A4" t="s">
        <v>17</v>
      </c>
      <c r="B4" s="19">
        <f>SUMIF(Income!E:E,analitics!A4,Income!F:F)</f>
        <v>1553499</v>
      </c>
      <c r="C4" s="7"/>
      <c r="G4" s="82" t="s">
        <v>11</v>
      </c>
      <c r="H4" s="14" t="s">
        <v>24</v>
      </c>
      <c r="I4" s="14" t="s">
        <v>25</v>
      </c>
      <c r="J4" s="34" t="s">
        <v>30</v>
      </c>
      <c r="N4" s="82" t="s">
        <v>11</v>
      </c>
      <c r="O4" s="14" t="s">
        <v>55</v>
      </c>
      <c r="P4" s="14" t="s">
        <v>7</v>
      </c>
      <c r="Q4" s="34" t="s">
        <v>56</v>
      </c>
      <c r="V4" s="82" t="s">
        <v>32</v>
      </c>
      <c r="W4" s="89">
        <f>IFERROR(AVERAGEIF(W5:W50,"&lt;&gt;0",W5:W50),0)</f>
        <v>0.7489466357489456</v>
      </c>
      <c r="X4" s="90">
        <f>IFERROR(AVERAGEIF(X5:X50,"&lt;&gt;0",X5:X50),0)</f>
        <v>0.7489466357489456</v>
      </c>
      <c r="Z4">
        <v>65200</v>
      </c>
      <c r="AC4" s="82" t="s">
        <v>11</v>
      </c>
      <c r="AD4" s="14" t="s">
        <v>15</v>
      </c>
      <c r="AE4" s="14" t="s">
        <v>29</v>
      </c>
      <c r="AF4" s="34" t="s">
        <v>28</v>
      </c>
      <c r="AJ4" s="10" t="s">
        <v>65</v>
      </c>
      <c r="AK4" s="93">
        <f>SUMIF(otros!D:D,"Bencina",otros!B:B)</f>
        <v>0</v>
      </c>
      <c r="AN4" s="82" t="s">
        <v>33</v>
      </c>
      <c r="AO4" s="48" t="s">
        <v>35</v>
      </c>
      <c r="AP4" s="48" t="s">
        <v>34</v>
      </c>
      <c r="AQ4" s="92" t="s">
        <v>36</v>
      </c>
      <c r="AV4" s="82" t="s">
        <v>11</v>
      </c>
      <c r="AW4" s="14" t="s">
        <v>43</v>
      </c>
      <c r="AX4" s="14" t="s">
        <v>63</v>
      </c>
      <c r="AZ4" s="14" t="s">
        <v>43</v>
      </c>
      <c r="BA4" s="14" t="s">
        <v>11</v>
      </c>
      <c r="BB4" s="14" t="s">
        <v>7</v>
      </c>
      <c r="BC4" s="34" t="s">
        <v>43</v>
      </c>
      <c r="BH4" t="s">
        <v>64</v>
      </c>
      <c r="BI4" s="45">
        <f>AK4</f>
        <v>0</v>
      </c>
      <c r="BJ4" s="7">
        <f>BI4/BI3</f>
        <v>0</v>
      </c>
    </row>
    <row r="5" spans="1:62" x14ac:dyDescent="0.3">
      <c r="G5" s="10" t="str" cm="1">
        <f t="array" ref="G5">IFERROR(INDEX(datatypes!$A$2:$A$200,MATCH(0,INDEX(COUNTIF($G$4:G4,datatypes!$A$2:$A$200),0,0),0)),"")</f>
        <v>Track ball cat toy</v>
      </c>
      <c r="H5" s="12">
        <f>SUMIF(Income!B:B,analitics!G5,Income!F:F)</f>
        <v>14900</v>
      </c>
      <c r="I5" s="14">
        <f>SUMIF(Income!B:B,analitics!G5,Income!D:D)</f>
        <v>1</v>
      </c>
      <c r="J5" s="69">
        <f>IFERROR(H5/I5,0)</f>
        <v>14900</v>
      </c>
      <c r="N5" s="10" t="str" cm="1">
        <f t="array" ref="N5">IFERROR(INDEX(datatypes!$A$2:$A$200,MATCH(0,INDEX(COUNTIF($N$4:N4,datatypes!$A$2:$A$200),0,0),0)),"")</f>
        <v>Track ball cat toy</v>
      </c>
      <c r="O5" s="14">
        <f>AO5</f>
        <v>1</v>
      </c>
      <c r="P5" s="33">
        <f t="shared" ref="P5:P11" si="0">AF5</f>
        <v>5210</v>
      </c>
      <c r="Q5" s="69">
        <f>O5*P5</f>
        <v>5210</v>
      </c>
      <c r="V5" s="10" t="str" cm="1">
        <f t="array" ref="V5">IFERROR(INDEX(datatypes!$A$2:$A$200,MATCH(0,INDEX(COUNTIF($V$4:V4,datatypes!$A$2:$A$200),0,0),0)),"")</f>
        <v>Track ball cat toy</v>
      </c>
      <c r="W5" s="89">
        <f t="shared" ref="W5:W11" si="1">IFERROR((J5-AF5)/J5,0)</f>
        <v>0.65033557046979862</v>
      </c>
      <c r="X5" s="91">
        <f>IFERROR((J5-(AF5+BJ5))/J5,0)</f>
        <v>0.65033557046979862</v>
      </c>
      <c r="Z5" s="8">
        <f>Z3-Z4</f>
        <v>188324.11083540111</v>
      </c>
      <c r="AC5" s="10" t="str" cm="1">
        <f t="array" ref="AC5">IFERROR(INDEX(datatypes!$A$2:$A$200,MATCH(0,INDEX(COUNTIF($AC$4:AC4,datatypes!$A$2:$A$200),0,0),0)),"")</f>
        <v>Track ball cat toy</v>
      </c>
      <c r="AD5" s="12">
        <f>SUMIF(Stock!B:B,analitics!AC5,Stock!F:F)</f>
        <v>15630</v>
      </c>
      <c r="AE5" s="14">
        <f>SUMIF(Stock!B:B,analitics!AC5,Stock!D:D)</f>
        <v>3</v>
      </c>
      <c r="AF5" s="69">
        <f>IFERROR(AD5/AE5,0)</f>
        <v>5210</v>
      </c>
      <c r="AJ5" s="10" t="s">
        <v>42</v>
      </c>
      <c r="AK5" s="93">
        <f>SUMIFS(otros!B:B,otros!C:C,analitics!AJ5,otros!D:D,"&lt;&gt;Bencina")</f>
        <v>55600</v>
      </c>
      <c r="AN5" s="10" t="str" cm="1">
        <f t="array" ref="AN5">IFERROR(INDEX(datatypes!$A$2:$A$200,MATCH(0,INDEX(COUNTIF($AC$4:AC4,datatypes!$A$2:$A$200),0,0),0)),"")</f>
        <v>Track ball cat toy</v>
      </c>
      <c r="AO5" s="14">
        <f>SUMIF(Income!B:B,analitics!AN5,Income!D:D)</f>
        <v>1</v>
      </c>
      <c r="AP5" s="14">
        <f>SUMIF(Stock!B:B,analitics!AN5,Stock!D:D)</f>
        <v>3</v>
      </c>
      <c r="AQ5" s="34">
        <f>AP5-AO5</f>
        <v>2</v>
      </c>
      <c r="AV5" s="10" t="str" cm="1">
        <f t="array" ref="AV5">IFERROR(INDEX(datatypes!$A$2:$A$200,MATCH(0,INDEX(COUNTIF($AV$4:AV4,datatypes!$A$2:$A$200),0,0),0)),"")</f>
        <v>Track ball cat toy</v>
      </c>
      <c r="AW5" s="33">
        <f t="shared" ref="AW5:AW11" si="2">H5</f>
        <v>14900</v>
      </c>
      <c r="AX5" s="94">
        <f>IFERROR(AW5/$AW$3,0)</f>
        <v>9.5912517484723191E-3</v>
      </c>
      <c r="AZ5" s="33">
        <f t="shared" ref="AZ5:AZ11" si="3">H5</f>
        <v>14900</v>
      </c>
      <c r="BA5" s="14" t="str" cm="1">
        <f t="array" ref="BA5">IFERROR(INDEX(datatypes!$A$2:$A$200,MATCH(0,INDEX(COUNTIF($BA$4:BA4,datatypes!$A$2:$A$200),0,0),0)),"")</f>
        <v>Track ball cat toy</v>
      </c>
      <c r="BB5" s="33">
        <f>Q5</f>
        <v>5210</v>
      </c>
      <c r="BC5" s="69">
        <f>AZ5-BB5</f>
        <v>9690</v>
      </c>
      <c r="BH5" t="s">
        <v>6</v>
      </c>
      <c r="BI5">
        <f>O5</f>
        <v>1</v>
      </c>
      <c r="BJ5" s="7">
        <f>$BJ$4/4</f>
        <v>0</v>
      </c>
    </row>
    <row r="6" spans="1:62" x14ac:dyDescent="0.3">
      <c r="G6" s="10" t="str" cm="1">
        <f t="array" ref="G6">IFERROR(INDEX(datatypes!$A$2:$A$200,MATCH(0,INDEX(COUNTIF($G$4:G5,datatypes!$A$2:$A$200),0,0),0)),"")</f>
        <v>Cat toothbrush</v>
      </c>
      <c r="H6" s="12">
        <f>SUMIF(Income!B:B,analitics!G6,Income!F:F)</f>
        <v>0</v>
      </c>
      <c r="I6" s="14">
        <f>SUMIF(Income!B:B,analitics!G6,Income!D:D)</f>
        <v>0</v>
      </c>
      <c r="J6" s="69">
        <f t="shared" ref="J6:J50" si="4">IFERROR(H6/I6,0)</f>
        <v>0</v>
      </c>
      <c r="N6" s="10" t="str" cm="1">
        <f t="array" ref="N6">IFERROR(INDEX(datatypes!$A$2:$A$200,MATCH(0,INDEX(COUNTIF($N$4:N5,datatypes!$A$2:$A$200),0,0),0)),"")</f>
        <v>Cat toothbrush</v>
      </c>
      <c r="O6" s="14">
        <f t="shared" ref="O6:O50" si="5">AO6</f>
        <v>0</v>
      </c>
      <c r="P6" s="33">
        <f t="shared" si="0"/>
        <v>1580</v>
      </c>
      <c r="Q6" s="69">
        <f t="shared" ref="Q6:Q50" si="6">O6*P6</f>
        <v>0</v>
      </c>
      <c r="V6" s="10" t="str" cm="1">
        <f t="array" ref="V6">IFERROR(INDEX(datatypes!$A$2:$A$200,MATCH(0,INDEX(COUNTIF($V$4:V5,datatypes!$A$2:$A$200),0,0),0)),"")</f>
        <v>Cat toothbrush</v>
      </c>
      <c r="W6" s="89">
        <f t="shared" si="1"/>
        <v>0</v>
      </c>
      <c r="X6" s="91">
        <f>IFERROR((J6-(AF6+BJ6))/J6,0)</f>
        <v>0</v>
      </c>
      <c r="AC6" s="10" t="str" cm="1">
        <f t="array" ref="AC6">IFERROR(INDEX(datatypes!$A$2:$A$200,MATCH(0,INDEX(COUNTIF($AC$4:AC5,datatypes!$A$2:$A$200),0,0),0)),"")</f>
        <v>Cat toothbrush</v>
      </c>
      <c r="AD6" s="12">
        <f>SUMIF(Stock!B:B,analitics!AC6,Stock!F:F)</f>
        <v>9480</v>
      </c>
      <c r="AE6" s="14">
        <f>SUMIF(Stock!B:B,analitics!AC6,Stock!D:D)</f>
        <v>6</v>
      </c>
      <c r="AF6" s="69">
        <f t="shared" ref="AF6:AF10" si="7">IFERROR(AD6/AE6,0)</f>
        <v>1580</v>
      </c>
      <c r="AJ6" s="10" t="s">
        <v>43</v>
      </c>
      <c r="AK6" s="93">
        <f>SUMIF(otros!C:C,analitics!AJ6,otros!B:B)</f>
        <v>0</v>
      </c>
      <c r="AN6" s="10" t="str" cm="1">
        <f t="array" ref="AN6">IFERROR(INDEX(datatypes!$A$2:$A$200,MATCH(0,INDEX(COUNTIF($AC$4:AC5,datatypes!$A$2:$A$200),0,0),0)),"")</f>
        <v>Cat toothbrush</v>
      </c>
      <c r="AO6" s="14">
        <f>SUMIF(Income!B:B,analitics!AN6,Income!D:D)</f>
        <v>0</v>
      </c>
      <c r="AP6" s="14">
        <f>SUMIF(Stock!B:B,analitics!AN6,Stock!D:D)</f>
        <v>6</v>
      </c>
      <c r="AQ6" s="34">
        <f t="shared" ref="AQ6:AQ50" si="8">AP6-AO6</f>
        <v>6</v>
      </c>
      <c r="AV6" s="10" t="str" cm="1">
        <f t="array" ref="AV6">IFERROR(INDEX(datatypes!$A$2:$A$200,MATCH(0,INDEX(COUNTIF($AV$4:AV5,datatypes!$A$2:$A$200),0,0),0)),"")</f>
        <v>Cat toothbrush</v>
      </c>
      <c r="AW6" s="33">
        <f t="shared" si="2"/>
        <v>0</v>
      </c>
      <c r="AX6" s="94">
        <f t="shared" ref="AX6:AX50" si="9">IFERROR(AW6/$AW$3,0)</f>
        <v>0</v>
      </c>
      <c r="AZ6" s="33">
        <f t="shared" si="3"/>
        <v>0</v>
      </c>
      <c r="BA6" s="14" t="str" cm="1">
        <f t="array" ref="BA6">IFERROR(INDEX(datatypes!$A$2:$A$200,MATCH(0,INDEX(COUNTIF($BA$4:BA5,datatypes!$A$2:$A$200),0,0),0)),"")</f>
        <v>Cat toothbrush</v>
      </c>
      <c r="BB6" s="33">
        <f t="shared" ref="BB6:BB50" si="10">Q6</f>
        <v>0</v>
      </c>
      <c r="BC6" s="69">
        <f>AZ6-BB6</f>
        <v>0</v>
      </c>
      <c r="BH6" t="s">
        <v>2</v>
      </c>
      <c r="BI6">
        <f>O6</f>
        <v>0</v>
      </c>
      <c r="BJ6" s="7">
        <f>$BJ$4/4</f>
        <v>0</v>
      </c>
    </row>
    <row r="7" spans="1:62" x14ac:dyDescent="0.3">
      <c r="G7" s="10" t="str" cm="1">
        <f t="array" ref="G7">IFERROR(INDEX(datatypes!$A$2:$A$200,MATCH(0,INDEX(COUNTIF($G$4:G6,datatypes!$A$2:$A$200),0,0),0)),"")</f>
        <v>Raton control remoto</v>
      </c>
      <c r="H7" s="12">
        <f>SUMIF(Income!B:B,analitics!G7,Income!F:F)</f>
        <v>30000</v>
      </c>
      <c r="I7" s="14">
        <f>SUMIF(Income!B:B,analitics!G7,Income!D:D)</f>
        <v>3</v>
      </c>
      <c r="J7" s="69">
        <f t="shared" si="4"/>
        <v>10000</v>
      </c>
      <c r="N7" s="10" t="str" cm="1">
        <f t="array" ref="N7">IFERROR(INDEX(datatypes!$A$2:$A$200,MATCH(0,INDEX(COUNTIF($N$4:N6,datatypes!$A$2:$A$200),0,0),0)),"")</f>
        <v>Raton control remoto</v>
      </c>
      <c r="O7" s="14">
        <f t="shared" si="5"/>
        <v>3</v>
      </c>
      <c r="P7" s="33">
        <f t="shared" si="0"/>
        <v>2040</v>
      </c>
      <c r="Q7" s="69">
        <f t="shared" si="6"/>
        <v>6120</v>
      </c>
      <c r="V7" s="10" t="str" cm="1">
        <f t="array" ref="V7">IFERROR(INDEX(datatypes!$A$2:$A$200,MATCH(0,INDEX(COUNTIF($V$4:V6,datatypes!$A$2:$A$200),0,0),0)),"")</f>
        <v>Raton control remoto</v>
      </c>
      <c r="W7" s="89">
        <f t="shared" si="1"/>
        <v>0.79600000000000004</v>
      </c>
      <c r="X7" s="91">
        <f>IFERROR((J7-(AF7+BJ7))/J7,0)</f>
        <v>0.79600000000000004</v>
      </c>
      <c r="AC7" s="10" t="str" cm="1">
        <f t="array" ref="AC7">IFERROR(INDEX(datatypes!$A$2:$A$200,MATCH(0,INDEX(COUNTIF($AC$4:AC6,datatypes!$A$2:$A$200),0,0),0)),"")</f>
        <v>Raton control remoto</v>
      </c>
      <c r="AD7" s="12">
        <f>SUMIF(Stock!B:B,analitics!AC7,Stock!F:F)</f>
        <v>6120</v>
      </c>
      <c r="AE7" s="14">
        <f>SUMIF(Stock!B:B,analitics!AC7,Stock!D:D)</f>
        <v>3</v>
      </c>
      <c r="AF7" s="69">
        <f t="shared" si="7"/>
        <v>2040</v>
      </c>
      <c r="AJ7" s="10" t="s">
        <v>82</v>
      </c>
      <c r="AK7" s="34">
        <f>SUMIF(otros!D:D,"Retiro",otros!B:B)</f>
        <v>0</v>
      </c>
      <c r="AN7" s="10" t="str" cm="1">
        <f t="array" ref="AN7">IFERROR(INDEX(datatypes!$A$2:$A$200,MATCH(0,INDEX(COUNTIF($AC$4:AC6,datatypes!$A$2:$A$200),0,0),0)),"")</f>
        <v>Raton control remoto</v>
      </c>
      <c r="AO7" s="14">
        <f>SUMIF(Income!B:B,analitics!AN7,Income!D:D)</f>
        <v>3</v>
      </c>
      <c r="AP7" s="14">
        <f>SUMIF(Stock!B:B,analitics!AN7,Stock!D:D)</f>
        <v>3</v>
      </c>
      <c r="AQ7" s="34">
        <f t="shared" si="8"/>
        <v>0</v>
      </c>
      <c r="AV7" s="10" t="str" cm="1">
        <f t="array" ref="AV7">IFERROR(INDEX(datatypes!$A$2:$A$200,MATCH(0,INDEX(COUNTIF($AV$4:AV6,datatypes!$A$2:$A$200),0,0),0)),"")</f>
        <v>Raton control remoto</v>
      </c>
      <c r="AW7" s="33">
        <f t="shared" si="2"/>
        <v>30000</v>
      </c>
      <c r="AX7" s="94">
        <f t="shared" si="9"/>
        <v>1.9311245131152323E-2</v>
      </c>
      <c r="AZ7" s="33">
        <f t="shared" si="3"/>
        <v>30000</v>
      </c>
      <c r="BA7" s="14" t="str" cm="1">
        <f t="array" ref="BA7">IFERROR(INDEX(datatypes!$A$2:$A$200,MATCH(0,INDEX(COUNTIF($BA$4:BA6,datatypes!$A$2:$A$200),0,0),0)),"")</f>
        <v>Raton control remoto</v>
      </c>
      <c r="BB7" s="33">
        <f t="shared" si="10"/>
        <v>6120</v>
      </c>
      <c r="BC7" s="69">
        <f>AZ7-BB7</f>
        <v>23880</v>
      </c>
      <c r="BH7" t="s">
        <v>1</v>
      </c>
      <c r="BI7">
        <f>O7</f>
        <v>3</v>
      </c>
      <c r="BJ7" s="7">
        <f>$BJ$4/4</f>
        <v>0</v>
      </c>
    </row>
    <row r="8" spans="1:62" x14ac:dyDescent="0.3">
      <c r="G8" s="10" t="str" cm="1">
        <f t="array" ref="G8">IFERROR(INDEX(datatypes!$A$2:$A$200,MATCH(0,INDEX(COUNTIF($G$4:G7,datatypes!$A$2:$A$200),0,0),0)),"")</f>
        <v>eating sport</v>
      </c>
      <c r="H8" s="12">
        <f>SUMIF(Income!B:B,analitics!G8,Income!F:F)</f>
        <v>29700</v>
      </c>
      <c r="I8" s="14">
        <f>SUMIF(Income!B:B,analitics!G8,Income!D:D)</f>
        <v>3</v>
      </c>
      <c r="J8" s="69">
        <f t="shared" si="4"/>
        <v>9900</v>
      </c>
      <c r="N8" s="10" t="str" cm="1">
        <f t="array" ref="N8">IFERROR(INDEX(datatypes!$A$2:$A$200,MATCH(0,INDEX(COUNTIF($N$4:N7,datatypes!$A$2:$A$200),0,0),0)),"")</f>
        <v>eating sport</v>
      </c>
      <c r="O8" s="14">
        <f t="shared" si="5"/>
        <v>3</v>
      </c>
      <c r="P8" s="33">
        <f t="shared" si="0"/>
        <v>2380</v>
      </c>
      <c r="Q8" s="69">
        <f t="shared" si="6"/>
        <v>7140</v>
      </c>
      <c r="V8" s="10" t="str" cm="1">
        <f t="array" ref="V8">IFERROR(INDEX(datatypes!$A$2:$A$200,MATCH(0,INDEX(COUNTIF($V$4:V7,datatypes!$A$2:$A$200),0,0),0)),"")</f>
        <v>eating sport</v>
      </c>
      <c r="W8" s="89">
        <f t="shared" si="1"/>
        <v>0.7595959595959596</v>
      </c>
      <c r="X8" s="91">
        <f>IFERROR((J8-(AF8+BJ8))/J8,0)</f>
        <v>0.7595959595959596</v>
      </c>
      <c r="AC8" s="10" t="str" cm="1">
        <f t="array" ref="AC8">IFERROR(INDEX(datatypes!$A$2:$A$200,MATCH(0,INDEX(COUNTIF($AC$4:AC7,datatypes!$A$2:$A$200),0,0),0)),"")</f>
        <v>eating sport</v>
      </c>
      <c r="AD8" s="12">
        <f>SUMIF(Stock!B:B,analitics!AC8,Stock!F:F)</f>
        <v>9520</v>
      </c>
      <c r="AE8" s="14">
        <f>SUMIF(Stock!B:B,analitics!AC8,Stock!D:D)</f>
        <v>4</v>
      </c>
      <c r="AF8" s="69">
        <f t="shared" si="7"/>
        <v>2380</v>
      </c>
      <c r="AN8" s="10" t="str" cm="1">
        <f t="array" ref="AN8">IFERROR(INDEX(datatypes!$A$2:$A$200,MATCH(0,INDEX(COUNTIF($AC$4:AC7,datatypes!$A$2:$A$200),0,0),0)),"")</f>
        <v>eating sport</v>
      </c>
      <c r="AO8" s="14">
        <f>SUMIF(Income!B:B,analitics!AN8,Income!D:D)</f>
        <v>3</v>
      </c>
      <c r="AP8" s="14">
        <f>SUMIF(Stock!B:B,analitics!AN8,Stock!D:D)</f>
        <v>4</v>
      </c>
      <c r="AQ8" s="34">
        <f t="shared" si="8"/>
        <v>1</v>
      </c>
      <c r="AV8" s="10" t="str" cm="1">
        <f t="array" ref="AV8">IFERROR(INDEX(datatypes!$A$2:$A$200,MATCH(0,INDEX(COUNTIF($AV$4:AV7,datatypes!$A$2:$A$200),0,0),0)),"")</f>
        <v>eating sport</v>
      </c>
      <c r="AW8" s="33">
        <f t="shared" si="2"/>
        <v>29700</v>
      </c>
      <c r="AX8" s="94">
        <f t="shared" si="9"/>
        <v>1.9118132679840798E-2</v>
      </c>
      <c r="AZ8" s="33">
        <f t="shared" si="3"/>
        <v>29700</v>
      </c>
      <c r="BA8" s="14" t="str" cm="1">
        <f t="array" ref="BA8">IFERROR(INDEX(datatypes!$A$2:$A$200,MATCH(0,INDEX(COUNTIF($BA$4:BA7,datatypes!$A$2:$A$200),0,0),0)),"")</f>
        <v>eating sport</v>
      </c>
      <c r="BB8" s="33">
        <f t="shared" si="10"/>
        <v>7140</v>
      </c>
      <c r="BC8" s="69">
        <f>AZ8-BB8</f>
        <v>22560</v>
      </c>
      <c r="BH8" t="s">
        <v>8</v>
      </c>
      <c r="BI8">
        <f>O8</f>
        <v>3</v>
      </c>
      <c r="BJ8" s="7">
        <f>$BJ$4/4</f>
        <v>0</v>
      </c>
    </row>
    <row r="9" spans="1:62" x14ac:dyDescent="0.3">
      <c r="G9" s="10" t="str" cm="1">
        <f t="array" ref="G9">IFERROR(INDEX(datatypes!$A$2:$A$200,MATCH(0,INDEX(COUNTIF($G$4:G8,datatypes!$A$2:$A$200),0,0),0)),"")</f>
        <v>botella de agua</v>
      </c>
      <c r="H9" s="12">
        <f>SUMIF(Income!B:B,analitics!G9,Income!F:F)</f>
        <v>59499</v>
      </c>
      <c r="I9" s="14">
        <f>SUMIF(Income!B:B,analitics!G9,Income!D:D)</f>
        <v>6</v>
      </c>
      <c r="J9" s="69">
        <f t="shared" si="4"/>
        <v>9916.5</v>
      </c>
      <c r="N9" s="10" t="str" cm="1">
        <f t="array" ref="N9">IFERROR(INDEX(datatypes!$A$2:$A$200,MATCH(0,INDEX(COUNTIF($N$4:N8,datatypes!$A$2:$A$200),0,0),0)),"")</f>
        <v>botella de agua</v>
      </c>
      <c r="O9" s="14">
        <f t="shared" si="5"/>
        <v>6</v>
      </c>
      <c r="P9" s="33">
        <f t="shared" si="0"/>
        <v>3033.3333333333335</v>
      </c>
      <c r="Q9" s="69">
        <f t="shared" si="6"/>
        <v>18200</v>
      </c>
      <c r="V9" s="10" t="str" cm="1">
        <f t="array" ref="V9">IFERROR(INDEX(datatypes!$A$2:$A$200,MATCH(0,INDEX(COUNTIF($V$4:V8,datatypes!$A$2:$A$200),0,0),0)),"")</f>
        <v>botella de agua</v>
      </c>
      <c r="W9" s="89">
        <f t="shared" si="1"/>
        <v>0.69411250609253927</v>
      </c>
      <c r="X9" s="91">
        <f>IFERROR((J9-(AF9+BJ3))/J9,0)</f>
        <v>0.69411250609253927</v>
      </c>
      <c r="AC9" s="10" t="str" cm="1">
        <f t="array" ref="AC9">IFERROR(INDEX(datatypes!$A$2:$A$200,MATCH(0,INDEX(COUNTIF($AC$4:AC8,datatypes!$A$2:$A$200),0,0),0)),"")</f>
        <v>botella de agua</v>
      </c>
      <c r="AD9" s="12">
        <f>SUMIF(Stock!B:B,analitics!AC9,Stock!F:F)</f>
        <v>18200</v>
      </c>
      <c r="AE9" s="14">
        <f>SUMIF(Stock!B:B,analitics!AC9,Stock!D:D)</f>
        <v>6</v>
      </c>
      <c r="AF9" s="69">
        <f t="shared" si="7"/>
        <v>3033.3333333333335</v>
      </c>
      <c r="AN9" s="10" t="str" cm="1">
        <f t="array" ref="AN9">IFERROR(INDEX(datatypes!$A$2:$A$200,MATCH(0,INDEX(COUNTIF($AC$4:AC8,datatypes!$A$2:$A$200),0,0),0)),"")</f>
        <v>botella de agua</v>
      </c>
      <c r="AO9" s="14">
        <f>SUMIF(Income!B:B,analitics!AN9,Income!D:D)</f>
        <v>6</v>
      </c>
      <c r="AP9" s="14">
        <f>SUMIF(Stock!B:B,analitics!AN9,Stock!D:D)</f>
        <v>6</v>
      </c>
      <c r="AQ9" s="34">
        <f t="shared" si="8"/>
        <v>0</v>
      </c>
      <c r="AV9" s="10" t="str" cm="1">
        <f t="array" ref="AV9">IFERROR(INDEX(datatypes!$A$2:$A$200,MATCH(0,INDEX(COUNTIF($AV$4:AV8,datatypes!$A$2:$A$200),0,0),0)),"")</f>
        <v>botella de agua</v>
      </c>
      <c r="AW9" s="33">
        <f t="shared" si="2"/>
        <v>59499</v>
      </c>
      <c r="AX9" s="94">
        <f t="shared" si="9"/>
        <v>3.8299992468614402E-2</v>
      </c>
      <c r="AZ9" s="33">
        <f t="shared" si="3"/>
        <v>59499</v>
      </c>
      <c r="BA9" s="14" t="str" cm="1">
        <f t="array" ref="BA9">IFERROR(INDEX(datatypes!$A$2:$A$200,MATCH(0,INDEX(COUNTIF($BA$4:BA8,datatypes!$A$2:$A$200),0,0),0)),"")</f>
        <v>botella de agua</v>
      </c>
      <c r="BB9" s="33">
        <f t="shared" si="10"/>
        <v>18200</v>
      </c>
      <c r="BC9" s="69">
        <f t="shared" ref="BC9:BC11" si="11">AZ9-BB9</f>
        <v>41299</v>
      </c>
    </row>
    <row r="10" spans="1:62" x14ac:dyDescent="0.3">
      <c r="G10" s="10" t="str" cm="1">
        <f t="array" ref="G10">IFERROR(INDEX(datatypes!$A$2:$A$200,MATCH(0,INDEX(COUNTIF($G$4:G9,datatypes!$A$2:$A$200),0,0),0)),"")</f>
        <v>correa manos libre</v>
      </c>
      <c r="H10" s="12">
        <f>SUMIF(Income!B:B,analitics!G10,Income!F:F)</f>
        <v>55600</v>
      </c>
      <c r="I10" s="14">
        <f>SUMIF(Income!B:B,analitics!G10,Income!D:D)</f>
        <v>4</v>
      </c>
      <c r="J10" s="69">
        <f t="shared" si="4"/>
        <v>13900</v>
      </c>
      <c r="N10" s="10" t="str" cm="1">
        <f t="array" ref="N10">IFERROR(INDEX(datatypes!$A$2:$A$200,MATCH(0,INDEX(COUNTIF($N$4:N9,datatypes!$A$2:$A$200),0,0),0)),"")</f>
        <v>correa manos libre</v>
      </c>
      <c r="O10" s="14">
        <f t="shared" si="5"/>
        <v>4</v>
      </c>
      <c r="P10" s="33">
        <f t="shared" si="0"/>
        <v>3980</v>
      </c>
      <c r="Q10" s="69">
        <f t="shared" si="6"/>
        <v>15920</v>
      </c>
      <c r="V10" s="10" t="str" cm="1">
        <f t="array" ref="V10">IFERROR(INDEX(datatypes!$A$2:$A$200,MATCH(0,INDEX(COUNTIF($V$4:V9,datatypes!$A$2:$A$200),0,0),0)),"")</f>
        <v>correa manos libre</v>
      </c>
      <c r="W10" s="89">
        <f t="shared" si="1"/>
        <v>0.71366906474820146</v>
      </c>
      <c r="X10" s="91">
        <f>IFERROR((J10-(AF10+C50))/J10,0)</f>
        <v>0.71366906474820146</v>
      </c>
      <c r="AC10" s="10" t="str" cm="1">
        <f t="array" ref="AC10">IFERROR(INDEX(datatypes!$A$2:$A$200,MATCH(0,INDEX(COUNTIF($AC$4:AC9,datatypes!$A$2:$A$200),0,0),0)),"")</f>
        <v>correa manos libre</v>
      </c>
      <c r="AD10" s="12">
        <f>SUMIF(Stock!B:B,analitics!AC10,Stock!F:F)</f>
        <v>15920</v>
      </c>
      <c r="AE10" s="14">
        <f>SUMIF(Stock!B:B,analitics!AC10,Stock!D:D)</f>
        <v>4</v>
      </c>
      <c r="AF10" s="69">
        <f t="shared" si="7"/>
        <v>3980</v>
      </c>
      <c r="AN10" s="10" t="str" cm="1">
        <f t="array" ref="AN10">IFERROR(INDEX(datatypes!$A$2:$A$200,MATCH(0,INDEX(COUNTIF($AC$4:AC9,datatypes!$A$2:$A$200),0,0),0)),"")</f>
        <v>correa manos libre</v>
      </c>
      <c r="AO10" s="14">
        <f>SUMIF(Income!B:B,analitics!AN10,Income!D:D)</f>
        <v>4</v>
      </c>
      <c r="AP10" s="14">
        <f>SUMIF(Stock!B:B,analitics!AN10,Stock!D:D)</f>
        <v>4</v>
      </c>
      <c r="AQ10" s="34">
        <f t="shared" si="8"/>
        <v>0</v>
      </c>
      <c r="AV10" s="10" t="str" cm="1">
        <f t="array" ref="AV10">IFERROR(INDEX(datatypes!$A$2:$A$200,MATCH(0,INDEX(COUNTIF($AV$4:AV9,datatypes!$A$2:$A$200),0,0),0)),"")</f>
        <v>correa manos libre</v>
      </c>
      <c r="AW10" s="33">
        <f t="shared" si="2"/>
        <v>55600</v>
      </c>
      <c r="AX10" s="94">
        <f t="shared" si="9"/>
        <v>3.5790174309735634E-2</v>
      </c>
      <c r="AZ10" s="33">
        <f t="shared" si="3"/>
        <v>55600</v>
      </c>
      <c r="BA10" s="14" t="str" cm="1">
        <f t="array" ref="BA10">IFERROR(INDEX(datatypes!$A$2:$A$200,MATCH(0,INDEX(COUNTIF($BA$4:BA9,datatypes!$A$2:$A$200),0,0),0)),"")</f>
        <v>correa manos libre</v>
      </c>
      <c r="BB10" s="33">
        <f t="shared" si="10"/>
        <v>15920</v>
      </c>
      <c r="BC10" s="69">
        <f t="shared" si="11"/>
        <v>39680</v>
      </c>
    </row>
    <row r="11" spans="1:62" x14ac:dyDescent="0.3">
      <c r="A11" t="s">
        <v>26</v>
      </c>
      <c r="G11" s="10" t="str" cm="1">
        <f t="array" ref="G11">IFERROR(INDEX(datatypes!$A$2:$A$200,MATCH(0,INDEX(COUNTIF($G$4:G10,datatypes!$A$2:$A$200),0,0),0)),"")</f>
        <v>Pack arnes talla S</v>
      </c>
      <c r="H11" s="12">
        <f>SUMIF(Income!B:B,analitics!G11,Income!F:F)</f>
        <v>24000</v>
      </c>
      <c r="I11" s="14">
        <f>SUMIF(Income!B:B,analitics!G11,Income!D:D)</f>
        <v>2</v>
      </c>
      <c r="J11" s="69">
        <f t="shared" si="4"/>
        <v>12000</v>
      </c>
      <c r="N11" s="10" t="str" cm="1">
        <f t="array" ref="N11">IFERROR(INDEX(datatypes!$A$2:$A$200,MATCH(0,INDEX(COUNTIF($N$4:N10,datatypes!$A$2:$A$200),0,0),0)),"")</f>
        <v>Pack arnes talla S</v>
      </c>
      <c r="O11" s="14">
        <f t="shared" si="5"/>
        <v>2</v>
      </c>
      <c r="P11" s="33">
        <f t="shared" si="0"/>
        <v>1420</v>
      </c>
      <c r="Q11" s="69">
        <f t="shared" si="6"/>
        <v>2840</v>
      </c>
      <c r="V11" s="10" t="str" cm="1">
        <f t="array" ref="V11">IFERROR(INDEX(datatypes!$A$2:$A$200,MATCH(0,INDEX(COUNTIF($V$4:V10,datatypes!$A$2:$A$200),0,0),0)),"")</f>
        <v>Pack arnes talla S</v>
      </c>
      <c r="W11" s="89">
        <f t="shared" si="1"/>
        <v>0.88166666666666671</v>
      </c>
      <c r="X11" s="91">
        <f>IFERROR((J11-(AF11+C51))/J11,0)</f>
        <v>0.88166666666666671</v>
      </c>
      <c r="AC11" s="10" t="str" cm="1">
        <f t="array" ref="AC11">IFERROR(INDEX(datatypes!$A$2:$A$200,MATCH(0,INDEX(COUNTIF($AC$4:AC10,datatypes!$A$2:$A$200),0,0),0)),"")</f>
        <v>Pack arnes talla S</v>
      </c>
      <c r="AD11" s="12">
        <f>SUMIF(Stock!B:B,analitics!AC11,Stock!F:F)</f>
        <v>8520</v>
      </c>
      <c r="AE11" s="14">
        <f>SUMIF(Stock!B:B,analitics!AC11,Stock!D:D)</f>
        <v>6</v>
      </c>
      <c r="AF11" s="69">
        <f>IFERROR(AD11/AE11,0)</f>
        <v>1420</v>
      </c>
      <c r="AN11" s="10" t="str" cm="1">
        <f t="array" ref="AN11">IFERROR(INDEX(datatypes!$A$2:$A$200,MATCH(0,INDEX(COUNTIF($AC$4:AC10,datatypes!$A$2:$A$200),0,0),0)),"")</f>
        <v>Pack arnes talla S</v>
      </c>
      <c r="AO11" s="14">
        <f>SUMIF(Income!B:B,analitics!AN11,Income!D:D)</f>
        <v>2</v>
      </c>
      <c r="AP11" s="14">
        <f>SUMIF(Stock!B:B,analitics!AN11,Stock!D:D)</f>
        <v>6</v>
      </c>
      <c r="AQ11" s="34">
        <f t="shared" si="8"/>
        <v>4</v>
      </c>
      <c r="AV11" s="10" t="str" cm="1">
        <f t="array" ref="AV11">IFERROR(INDEX(datatypes!$A$2:$A$200,MATCH(0,INDEX(COUNTIF($AV$4:AV10,datatypes!$A$2:$A$200),0,0),0)),"")</f>
        <v>Pack arnes talla S</v>
      </c>
      <c r="AW11" s="33">
        <f t="shared" si="2"/>
        <v>24000</v>
      </c>
      <c r="AX11" s="94">
        <f t="shared" si="9"/>
        <v>1.5448996104921857E-2</v>
      </c>
      <c r="AZ11" s="33">
        <f t="shared" si="3"/>
        <v>24000</v>
      </c>
      <c r="BA11" s="14" t="str" cm="1">
        <f t="array" ref="BA11">IFERROR(INDEX(datatypes!$A$2:$A$200,MATCH(0,INDEX(COUNTIF($BA$4:BA10,datatypes!$A$2:$A$200),0,0),0)),"")</f>
        <v>Pack arnes talla S</v>
      </c>
      <c r="BB11" s="33">
        <f t="shared" si="10"/>
        <v>2840</v>
      </c>
      <c r="BC11" s="69">
        <f t="shared" si="11"/>
        <v>21160</v>
      </c>
    </row>
    <row r="12" spans="1:62" x14ac:dyDescent="0.3">
      <c r="A12" t="s">
        <v>18</v>
      </c>
      <c r="B12" s="19">
        <f>SUMIF(Stock!E:E,analitics!A12,Stock!F:F)</f>
        <v>0</v>
      </c>
      <c r="G12" s="10" t="str" cm="1">
        <f t="array" ref="G12">IFERROR(INDEX(datatypes!$A$2:$A$200,MATCH(0,INDEX(COUNTIF($G$4:G11,datatypes!$A$2:$A$200),0,0),0)),"")</f>
        <v>Pack arnes talla M</v>
      </c>
      <c r="H12" s="12">
        <f>SUMIF(Income!B:B,analitics!G12,Income!F:F)</f>
        <v>36000</v>
      </c>
      <c r="I12" s="14">
        <f>SUMIF(Income!B:B,analitics!G12,Income!D:D)</f>
        <v>3</v>
      </c>
      <c r="J12" s="69">
        <f t="shared" si="4"/>
        <v>12000</v>
      </c>
      <c r="N12" s="10" t="str" cm="1">
        <f t="array" ref="N12">IFERROR(INDEX(datatypes!$A$2:$A$200,MATCH(0,INDEX(COUNTIF($N$4:N11,datatypes!$A$2:$A$200),0,0),0)),"")</f>
        <v>Pack arnes talla M</v>
      </c>
      <c r="O12" s="14">
        <f t="shared" si="5"/>
        <v>3</v>
      </c>
      <c r="P12" s="33">
        <f t="shared" ref="P12:P50" si="12">AF12</f>
        <v>2380</v>
      </c>
      <c r="Q12" s="69">
        <f t="shared" si="6"/>
        <v>7140</v>
      </c>
      <c r="V12" s="10" t="str" cm="1">
        <f t="array" ref="V12">IFERROR(INDEX(datatypes!$A$2:$A$200,MATCH(0,INDEX(COUNTIF($V$4:V11,datatypes!$A$2:$A$200),0,0),0)),"")</f>
        <v>Pack arnes talla M</v>
      </c>
      <c r="W12" s="89">
        <f t="shared" ref="W12:W49" si="13">IFERROR((J12-AF12)/J12,0)</f>
        <v>0.80166666666666664</v>
      </c>
      <c r="X12" s="91">
        <f t="shared" ref="X12:X49" si="14">IFERROR((J12-(AF12+C52))/J12,0)</f>
        <v>0.80166666666666664</v>
      </c>
      <c r="AC12" s="10" t="str" cm="1">
        <f t="array" ref="AC12">IFERROR(INDEX(datatypes!$A$2:$A$200,MATCH(0,INDEX(COUNTIF($AC$4:AC11,datatypes!$A$2:$A$200),0,0),0)),"")</f>
        <v>Pack arnes talla M</v>
      </c>
      <c r="AD12" s="12">
        <f>SUMIF(Stock!B:B,analitics!AC12,Stock!F:F)</f>
        <v>11900</v>
      </c>
      <c r="AE12" s="14">
        <f>SUMIF(Stock!B:B,analitics!AC12,Stock!D:D)</f>
        <v>5</v>
      </c>
      <c r="AF12" s="69">
        <f t="shared" ref="AF12:AF50" si="15">IFERROR(AD12/AE12,0)</f>
        <v>2380</v>
      </c>
      <c r="AN12" s="10" t="str" cm="1">
        <f t="array" ref="AN12">IFERROR(INDEX(datatypes!$A$2:$A$200,MATCH(0,INDEX(COUNTIF($AC$4:AC11,datatypes!$A$2:$A$200),0,0),0)),"")</f>
        <v>Pack arnes talla M</v>
      </c>
      <c r="AO12" s="14">
        <f>SUMIF(Income!B:B,analitics!AN12,Income!D:D)</f>
        <v>3</v>
      </c>
      <c r="AP12" s="14">
        <f>SUMIF(Stock!B:B,analitics!AN12,Stock!D:D)</f>
        <v>5</v>
      </c>
      <c r="AQ12" s="34">
        <f t="shared" si="8"/>
        <v>2</v>
      </c>
      <c r="AV12" s="10" t="str" cm="1">
        <f t="array" ref="AV12">IFERROR(INDEX(datatypes!$A$2:$A$200,MATCH(0,INDEX(COUNTIF($AV$4:AV11,datatypes!$A$2:$A$200),0,0),0)),"")</f>
        <v>Pack arnes talla M</v>
      </c>
      <c r="AW12" s="33">
        <f t="shared" ref="AW12:AW50" si="16">H12</f>
        <v>36000</v>
      </c>
      <c r="AX12" s="94">
        <f t="shared" si="9"/>
        <v>2.3173494157382787E-2</v>
      </c>
      <c r="AZ12" s="33">
        <f t="shared" ref="AZ12:AZ50" si="17">H12</f>
        <v>36000</v>
      </c>
      <c r="BA12" s="14" t="str" cm="1">
        <f t="array" ref="BA12">IFERROR(INDEX(datatypes!$A$2:$A$200,MATCH(0,INDEX(COUNTIF($BA$4:BA11,datatypes!$A$2:$A$200),0,0),0)),"")</f>
        <v>Pack arnes talla M</v>
      </c>
      <c r="BB12" s="33">
        <f t="shared" si="10"/>
        <v>7140</v>
      </c>
      <c r="BC12" s="69">
        <f t="shared" ref="BC12:BC50" si="18">AZ12-BB12</f>
        <v>28860</v>
      </c>
    </row>
    <row r="13" spans="1:62" x14ac:dyDescent="0.3">
      <c r="A13" t="s">
        <v>17</v>
      </c>
      <c r="B13" s="19">
        <f>SUMIF(Stock!E:E,analitics!A13,Stock!F:F)</f>
        <v>807010</v>
      </c>
      <c r="G13" s="10" t="str" cm="1">
        <f t="array" ref="G13">IFERROR(INDEX(datatypes!$A$2:$A$200,MATCH(0,INDEX(COUNTIF($G$4:G12,datatypes!$A$2:$A$200),0,0),0)),"")</f>
        <v>Pack arnes talla L</v>
      </c>
      <c r="H13" s="12">
        <f>SUMIF(Income!B:B,analitics!G13,Income!F:F)</f>
        <v>48000</v>
      </c>
      <c r="I13" s="14">
        <f>SUMIF(Income!B:B,analitics!G13,Income!D:D)</f>
        <v>4</v>
      </c>
      <c r="J13" s="69">
        <f t="shared" si="4"/>
        <v>12000</v>
      </c>
      <c r="N13" s="10" t="str" cm="1">
        <f t="array" ref="N13">IFERROR(INDEX(datatypes!$A$2:$A$200,MATCH(0,INDEX(COUNTIF($N$4:N12,datatypes!$A$2:$A$200),0,0),0)),"")</f>
        <v>Pack arnes talla L</v>
      </c>
      <c r="O13" s="14">
        <f t="shared" si="5"/>
        <v>4</v>
      </c>
      <c r="P13" s="33">
        <f t="shared" si="12"/>
        <v>3030</v>
      </c>
      <c r="Q13" s="69">
        <f t="shared" si="6"/>
        <v>12120</v>
      </c>
      <c r="V13" s="10" t="str" cm="1">
        <f t="array" ref="V13">IFERROR(INDEX(datatypes!$A$2:$A$200,MATCH(0,INDEX(COUNTIF($V$4:V12,datatypes!$A$2:$A$200),0,0),0)),"")</f>
        <v>Pack arnes talla L</v>
      </c>
      <c r="W13" s="89">
        <f t="shared" si="13"/>
        <v>0.74750000000000005</v>
      </c>
      <c r="X13" s="91">
        <f t="shared" si="14"/>
        <v>0.74750000000000005</v>
      </c>
      <c r="AC13" s="10" t="str" cm="1">
        <f t="array" ref="AC13">IFERROR(INDEX(datatypes!$A$2:$A$200,MATCH(0,INDEX(COUNTIF($AC$4:AC12,datatypes!$A$2:$A$200),0,0),0)),"")</f>
        <v>Pack arnes talla L</v>
      </c>
      <c r="AD13" s="12">
        <f>SUMIF(Stock!B:B,analitics!AC13,Stock!F:F)</f>
        <v>12120</v>
      </c>
      <c r="AE13" s="14">
        <f>SUMIF(Stock!B:B,analitics!AC13,Stock!D:D)</f>
        <v>4</v>
      </c>
      <c r="AF13" s="69">
        <f>IFERROR(AD13/AE13,0)</f>
        <v>3030</v>
      </c>
      <c r="AN13" s="10" t="str" cm="1">
        <f t="array" ref="AN13">IFERROR(INDEX(datatypes!$A$2:$A$200,MATCH(0,INDEX(COUNTIF($AC$4:AC12,datatypes!$A$2:$A$200),0,0),0)),"")</f>
        <v>Pack arnes talla L</v>
      </c>
      <c r="AO13" s="14">
        <f>SUMIF(Income!B:B,analitics!AN13,Income!D:D)</f>
        <v>4</v>
      </c>
      <c r="AP13" s="14">
        <f>SUMIF(Stock!B:B,analitics!AN13,Stock!D:D)</f>
        <v>4</v>
      </c>
      <c r="AQ13" s="34">
        <f t="shared" si="8"/>
        <v>0</v>
      </c>
      <c r="AV13" s="10" t="str" cm="1">
        <f t="array" ref="AV13">IFERROR(INDEX(datatypes!$A$2:$A$200,MATCH(0,INDEX(COUNTIF($AV$4:AV12,datatypes!$A$2:$A$200),0,0),0)),"")</f>
        <v>Pack arnes talla L</v>
      </c>
      <c r="AW13" s="33">
        <f t="shared" si="16"/>
        <v>48000</v>
      </c>
      <c r="AX13" s="94">
        <f t="shared" si="9"/>
        <v>3.0897992209843714E-2</v>
      </c>
      <c r="AZ13" s="33">
        <f t="shared" si="17"/>
        <v>48000</v>
      </c>
      <c r="BA13" s="14" t="str" cm="1">
        <f t="array" ref="BA13">IFERROR(INDEX(datatypes!$A$2:$A$200,MATCH(0,INDEX(COUNTIF($BA$4:BA12,datatypes!$A$2:$A$200),0,0),0)),"")</f>
        <v>Pack arnes talla L</v>
      </c>
      <c r="BB13" s="33">
        <f t="shared" si="10"/>
        <v>12120</v>
      </c>
      <c r="BC13" s="69">
        <f t="shared" si="18"/>
        <v>35880</v>
      </c>
    </row>
    <row r="14" spans="1:62" x14ac:dyDescent="0.3">
      <c r="G14" s="10" t="str" cm="1">
        <f t="array" ref="G14">IFERROR(INDEX(datatypes!$A$2:$A$200,MATCH(0,INDEX(COUNTIF($G$4:G13,datatypes!$A$2:$A$200),0,0),0)),"")</f>
        <v>Pack arnes talla XL</v>
      </c>
      <c r="H14" s="12">
        <f>SUMIF(Income!B:B,analitics!G14,Income!F:F)</f>
        <v>0</v>
      </c>
      <c r="I14" s="14">
        <f>SUMIF(Income!B:B,analitics!G14,Income!D:D)</f>
        <v>0</v>
      </c>
      <c r="J14" s="69">
        <f t="shared" si="4"/>
        <v>0</v>
      </c>
      <c r="N14" s="10" t="str" cm="1">
        <f t="array" ref="N14">IFERROR(INDEX(datatypes!$A$2:$A$200,MATCH(0,INDEX(COUNTIF($N$4:N13,datatypes!$A$2:$A$200),0,0),0)),"")</f>
        <v>Pack arnes talla XL</v>
      </c>
      <c r="O14" s="14">
        <f t="shared" si="5"/>
        <v>0</v>
      </c>
      <c r="P14" s="33">
        <f t="shared" si="12"/>
        <v>0</v>
      </c>
      <c r="Q14" s="69">
        <f t="shared" si="6"/>
        <v>0</v>
      </c>
      <c r="V14" s="10" t="str" cm="1">
        <f t="array" ref="V14">IFERROR(INDEX(datatypes!$A$2:$A$200,MATCH(0,INDEX(COUNTIF($V$4:V13,datatypes!$A$2:$A$200),0,0),0)),"")</f>
        <v>Pack arnes talla XL</v>
      </c>
      <c r="W14" s="89">
        <f t="shared" si="13"/>
        <v>0</v>
      </c>
      <c r="X14" s="91">
        <f t="shared" si="14"/>
        <v>0</v>
      </c>
      <c r="AC14" s="10" t="str" cm="1">
        <f t="array" ref="AC14">IFERROR(INDEX(datatypes!$A$2:$A$200,MATCH(0,INDEX(COUNTIF($AC$4:AC13,datatypes!$A$2:$A$200),0,0),0)),"")</f>
        <v>Pack arnes talla XL</v>
      </c>
      <c r="AD14" s="12">
        <f>SUMIF(Stock!B:B,analitics!AC14,Stock!F:F)</f>
        <v>0</v>
      </c>
      <c r="AE14" s="14">
        <f>SUMIF(Stock!B:B,analitics!AC14,Stock!D:D)</f>
        <v>0</v>
      </c>
      <c r="AF14" s="69">
        <f t="shared" si="15"/>
        <v>0</v>
      </c>
      <c r="AN14" s="10" t="str" cm="1">
        <f t="array" ref="AN14">IFERROR(INDEX(datatypes!$A$2:$A$200,MATCH(0,INDEX(COUNTIF($AC$4:AC13,datatypes!$A$2:$A$200),0,0),0)),"")</f>
        <v>Pack arnes talla XL</v>
      </c>
      <c r="AO14" s="14">
        <f>SUMIF(Income!B:B,analitics!AN14,Income!D:D)</f>
        <v>0</v>
      </c>
      <c r="AP14" s="14">
        <f>SUMIF(Stock!B:B,analitics!AN14,Stock!D:D)</f>
        <v>0</v>
      </c>
      <c r="AQ14" s="34">
        <f t="shared" si="8"/>
        <v>0</v>
      </c>
      <c r="AV14" s="10" t="str" cm="1">
        <f t="array" ref="AV14">IFERROR(INDEX(datatypes!$A$2:$A$200,MATCH(0,INDEX(COUNTIF($AV$4:AV13,datatypes!$A$2:$A$200),0,0),0)),"")</f>
        <v>Pack arnes talla XL</v>
      </c>
      <c r="AW14" s="33">
        <f t="shared" si="16"/>
        <v>0</v>
      </c>
      <c r="AX14" s="94">
        <f t="shared" si="9"/>
        <v>0</v>
      </c>
      <c r="AZ14" s="33">
        <f t="shared" si="17"/>
        <v>0</v>
      </c>
      <c r="BA14" s="14" t="str" cm="1">
        <f t="array" ref="BA14">IFERROR(INDEX(datatypes!$A$2:$A$200,MATCH(0,INDEX(COUNTIF($BA$4:BA13,datatypes!$A$2:$A$200),0,0),0)),"")</f>
        <v>Pack arnes talla XL</v>
      </c>
      <c r="BB14" s="33">
        <f t="shared" si="10"/>
        <v>0</v>
      </c>
      <c r="BC14" s="69">
        <f t="shared" si="18"/>
        <v>0</v>
      </c>
    </row>
    <row r="15" spans="1:62" x14ac:dyDescent="0.3">
      <c r="G15" s="10" t="str" cm="1">
        <f t="array" ref="G15">IFERROR(INDEX(datatypes!$A$2:$A$200,MATCH(0,INDEX(COUNTIF($G$4:G14,datatypes!$A$2:$A$200),0,0),0)),"")</f>
        <v>Pechera M</v>
      </c>
      <c r="H15" s="12">
        <f>SUMIF(Income!B:B,analitics!G15,Income!F:F)</f>
        <v>50000</v>
      </c>
      <c r="I15" s="14">
        <f>SUMIF(Income!B:B,analitics!G15,Income!D:D)</f>
        <v>5</v>
      </c>
      <c r="J15" s="69">
        <f t="shared" si="4"/>
        <v>10000</v>
      </c>
      <c r="N15" s="10" t="str" cm="1">
        <f t="array" ref="N15">IFERROR(INDEX(datatypes!$A$2:$A$200,MATCH(0,INDEX(COUNTIF($N$4:N14,datatypes!$A$2:$A$200),0,0),0)),"")</f>
        <v>Pechera M</v>
      </c>
      <c r="O15" s="14">
        <f t="shared" si="5"/>
        <v>5</v>
      </c>
      <c r="P15" s="33">
        <f t="shared" si="12"/>
        <v>1890</v>
      </c>
      <c r="Q15" s="69">
        <f t="shared" si="6"/>
        <v>9450</v>
      </c>
      <c r="V15" s="10" t="str" cm="1">
        <f t="array" ref="V15">IFERROR(INDEX(datatypes!$A$2:$A$200,MATCH(0,INDEX(COUNTIF($V$4:V14,datatypes!$A$2:$A$200),0,0),0)),"")</f>
        <v>Pechera M</v>
      </c>
      <c r="W15" s="89">
        <f t="shared" si="13"/>
        <v>0.81100000000000005</v>
      </c>
      <c r="X15" s="91">
        <f t="shared" si="14"/>
        <v>0.81100000000000005</v>
      </c>
      <c r="AC15" s="10" t="str" cm="1">
        <f t="array" ref="AC15">IFERROR(INDEX(datatypes!$A$2:$A$200,MATCH(0,INDEX(COUNTIF($AC$4:AC14,datatypes!$A$2:$A$200),0,0),0)),"")</f>
        <v>Pechera M</v>
      </c>
      <c r="AD15" s="12">
        <f>SUMIF(Stock!B:B,analitics!AC15,Stock!F:F)</f>
        <v>9450</v>
      </c>
      <c r="AE15" s="14">
        <f>SUMIF(Stock!B:B,analitics!AC15,Stock!D:D)</f>
        <v>5</v>
      </c>
      <c r="AF15" s="69">
        <f t="shared" si="15"/>
        <v>1890</v>
      </c>
      <c r="AN15" s="10" t="str" cm="1">
        <f t="array" ref="AN15">IFERROR(INDEX(datatypes!$A$2:$A$200,MATCH(0,INDEX(COUNTIF($AC$4:AC14,datatypes!$A$2:$A$200),0,0),0)),"")</f>
        <v>Pechera M</v>
      </c>
      <c r="AO15" s="14">
        <f>SUMIF(Income!B:B,analitics!AN15,Income!D:D)</f>
        <v>5</v>
      </c>
      <c r="AP15" s="14">
        <f>SUMIF(Stock!B:B,analitics!AN15,Stock!D:D)</f>
        <v>5</v>
      </c>
      <c r="AQ15" s="34">
        <f t="shared" si="8"/>
        <v>0</v>
      </c>
      <c r="AV15" s="10" t="str" cm="1">
        <f t="array" ref="AV15">IFERROR(INDEX(datatypes!$A$2:$A$200,MATCH(0,INDEX(COUNTIF($AV$4:AV14,datatypes!$A$2:$A$200),0,0),0)),"")</f>
        <v>Pechera M</v>
      </c>
      <c r="AW15" s="33">
        <f t="shared" si="16"/>
        <v>50000</v>
      </c>
      <c r="AX15" s="94">
        <f t="shared" si="9"/>
        <v>3.2185408551920536E-2</v>
      </c>
      <c r="AZ15" s="33">
        <f t="shared" si="17"/>
        <v>50000</v>
      </c>
      <c r="BA15" s="14" t="str" cm="1">
        <f t="array" ref="BA15">IFERROR(INDEX(datatypes!$A$2:$A$200,MATCH(0,INDEX(COUNTIF($BA$4:BA14,datatypes!$A$2:$A$200),0,0),0)),"")</f>
        <v>Pechera M</v>
      </c>
      <c r="BB15" s="33">
        <f t="shared" si="10"/>
        <v>9450</v>
      </c>
      <c r="BC15" s="69">
        <f t="shared" si="18"/>
        <v>40550</v>
      </c>
    </row>
    <row r="16" spans="1:62" x14ac:dyDescent="0.3">
      <c r="G16" s="10" t="str" cm="1">
        <f t="array" ref="G16">IFERROR(INDEX(datatypes!$A$2:$A$200,MATCH(0,INDEX(COUNTIF($G$4:G15,datatypes!$A$2:$A$200),0,0),0)),"")</f>
        <v>Pechera L</v>
      </c>
      <c r="H16" s="12">
        <f>SUMIF(Income!B:B,analitics!G16,Income!F:F)</f>
        <v>40000</v>
      </c>
      <c r="I16" s="14">
        <f>SUMIF(Income!B:B,analitics!G16,Income!D:D)</f>
        <v>4</v>
      </c>
      <c r="J16" s="69">
        <f t="shared" si="4"/>
        <v>10000</v>
      </c>
      <c r="N16" s="10" t="str" cm="1">
        <f t="array" ref="N16">IFERROR(INDEX(datatypes!$A$2:$A$200,MATCH(0,INDEX(COUNTIF($N$4:N15,datatypes!$A$2:$A$200),0,0),0)),"")</f>
        <v>Pechera L</v>
      </c>
      <c r="O16" s="14">
        <f t="shared" si="5"/>
        <v>4</v>
      </c>
      <c r="P16" s="33">
        <f t="shared" si="12"/>
        <v>1890</v>
      </c>
      <c r="Q16" s="69">
        <f t="shared" si="6"/>
        <v>7560</v>
      </c>
      <c r="V16" s="10" t="str" cm="1">
        <f t="array" ref="V16">IFERROR(INDEX(datatypes!$A$2:$A$200,MATCH(0,INDEX(COUNTIF($V$4:V15,datatypes!$A$2:$A$200),0,0),0)),"")</f>
        <v>Pechera L</v>
      </c>
      <c r="W16" s="89">
        <f t="shared" si="13"/>
        <v>0.81100000000000005</v>
      </c>
      <c r="X16" s="91">
        <f t="shared" si="14"/>
        <v>0.81100000000000005</v>
      </c>
      <c r="AC16" s="10" t="str" cm="1">
        <f t="array" ref="AC16">IFERROR(INDEX(datatypes!$A$2:$A$200,MATCH(0,INDEX(COUNTIF($AC$4:AC15,datatypes!$A$2:$A$200),0,0),0)),"")</f>
        <v>Pechera L</v>
      </c>
      <c r="AD16" s="12">
        <f>SUMIF(Stock!B:B,analitics!AC16,Stock!F:F)</f>
        <v>9450</v>
      </c>
      <c r="AE16" s="14">
        <f>SUMIF(Stock!B:B,analitics!AC16,Stock!D:D)</f>
        <v>5</v>
      </c>
      <c r="AF16" s="69">
        <f t="shared" si="15"/>
        <v>1890</v>
      </c>
      <c r="AN16" s="10" t="str" cm="1">
        <f t="array" ref="AN16">IFERROR(INDEX(datatypes!$A$2:$A$200,MATCH(0,INDEX(COUNTIF($AC$4:AC15,datatypes!$A$2:$A$200),0,0),0)),"")</f>
        <v>Pechera L</v>
      </c>
      <c r="AO16" s="14">
        <f>SUMIF(Income!B:B,analitics!AN16,Income!D:D)</f>
        <v>4</v>
      </c>
      <c r="AP16" s="14">
        <f>SUMIF(Stock!B:B,analitics!AN16,Stock!D:D)</f>
        <v>5</v>
      </c>
      <c r="AQ16" s="34">
        <f t="shared" si="8"/>
        <v>1</v>
      </c>
      <c r="AV16" s="10" t="str" cm="1">
        <f t="array" ref="AV16">IFERROR(INDEX(datatypes!$A$2:$A$200,MATCH(0,INDEX(COUNTIF($AV$4:AV15,datatypes!$A$2:$A$200),0,0),0)),"")</f>
        <v>Pechera L</v>
      </c>
      <c r="AW16" s="33">
        <f t="shared" si="16"/>
        <v>40000</v>
      </c>
      <c r="AX16" s="94">
        <f t="shared" si="9"/>
        <v>2.5748326841536429E-2</v>
      </c>
      <c r="AZ16" s="33">
        <f t="shared" si="17"/>
        <v>40000</v>
      </c>
      <c r="BA16" s="14" t="str" cm="1">
        <f t="array" ref="BA16">IFERROR(INDEX(datatypes!$A$2:$A$200,MATCH(0,INDEX(COUNTIF($BA$4:BA15,datatypes!$A$2:$A$200),0,0),0)),"")</f>
        <v>Pechera L</v>
      </c>
      <c r="BB16" s="33">
        <f t="shared" si="10"/>
        <v>7560</v>
      </c>
      <c r="BC16" s="69">
        <f t="shared" si="18"/>
        <v>32440</v>
      </c>
    </row>
    <row r="17" spans="1:55" x14ac:dyDescent="0.3">
      <c r="E17" s="8"/>
      <c r="G17" s="10" t="str" cm="1">
        <f t="array" ref="G17">IFERROR(INDEX(datatypes!$A$2:$A$200,MATCH(0,INDEX(COUNTIF($G$4:G16,datatypes!$A$2:$A$200),0,0),0)),"")</f>
        <v>Collar gato mostacilla</v>
      </c>
      <c r="H17" s="12">
        <f>SUMIF(Income!B:B,analitics!G17,Income!F:F)</f>
        <v>0</v>
      </c>
      <c r="I17" s="14">
        <f>SUMIF(Income!B:B,analitics!G17,Income!D:D)</f>
        <v>0</v>
      </c>
      <c r="J17" s="69">
        <f t="shared" si="4"/>
        <v>0</v>
      </c>
      <c r="N17" s="10" t="str" cm="1">
        <f t="array" ref="N17">IFERROR(INDEX(datatypes!$A$2:$A$200,MATCH(0,INDEX(COUNTIF($N$4:N16,datatypes!$A$2:$A$200),0,0),0)),"")</f>
        <v>Collar gato mostacilla</v>
      </c>
      <c r="O17" s="14">
        <f t="shared" si="5"/>
        <v>0</v>
      </c>
      <c r="P17" s="33">
        <f t="shared" si="12"/>
        <v>550</v>
      </c>
      <c r="Q17" s="69">
        <f t="shared" si="6"/>
        <v>0</v>
      </c>
      <c r="V17" s="10" t="str" cm="1">
        <f t="array" ref="V17">IFERROR(INDEX(datatypes!$A$2:$A$200,MATCH(0,INDEX(COUNTIF($V$4:V16,datatypes!$A$2:$A$200),0,0),0)),"")</f>
        <v>Collar gato mostacilla</v>
      </c>
      <c r="W17" s="89">
        <f t="shared" si="13"/>
        <v>0</v>
      </c>
      <c r="X17" s="91">
        <f t="shared" si="14"/>
        <v>0</v>
      </c>
      <c r="AC17" s="10" t="str" cm="1">
        <f t="array" ref="AC17">IFERROR(INDEX(datatypes!$A$2:$A$200,MATCH(0,INDEX(COUNTIF($AC$4:AC16,datatypes!$A$2:$A$200),0,0),0)),"")</f>
        <v>Collar gato mostacilla</v>
      </c>
      <c r="AD17" s="12">
        <f>SUMIF(Stock!B:B,analitics!AC17,Stock!F:F)</f>
        <v>2750</v>
      </c>
      <c r="AE17" s="14">
        <f>SUMIF(Stock!B:B,analitics!AC17,Stock!D:D)</f>
        <v>5</v>
      </c>
      <c r="AF17" s="69">
        <f t="shared" si="15"/>
        <v>550</v>
      </c>
      <c r="AN17" s="10" t="str" cm="1">
        <f t="array" ref="AN17">IFERROR(INDEX(datatypes!$A$2:$A$200,MATCH(0,INDEX(COUNTIF($AC$4:AC16,datatypes!$A$2:$A$200),0,0),0)),"")</f>
        <v>Collar gato mostacilla</v>
      </c>
      <c r="AO17" s="14">
        <f>SUMIF(Income!B:B,analitics!AN17,Income!D:D)</f>
        <v>0</v>
      </c>
      <c r="AP17" s="14">
        <f>SUMIF(Stock!B:B,analitics!AN17,Stock!D:D)</f>
        <v>5</v>
      </c>
      <c r="AQ17" s="34">
        <f t="shared" si="8"/>
        <v>5</v>
      </c>
      <c r="AV17" s="10" t="str" cm="1">
        <f t="array" ref="AV17">IFERROR(INDEX(datatypes!$A$2:$A$200,MATCH(0,INDEX(COUNTIF($AV$4:AV16,datatypes!$A$2:$A$200),0,0),0)),"")</f>
        <v>Collar gato mostacilla</v>
      </c>
      <c r="AW17" s="33">
        <f t="shared" si="16"/>
        <v>0</v>
      </c>
      <c r="AX17" s="94">
        <f t="shared" si="9"/>
        <v>0</v>
      </c>
      <c r="AZ17" s="33">
        <f t="shared" si="17"/>
        <v>0</v>
      </c>
      <c r="BA17" s="14" t="str" cm="1">
        <f t="array" ref="BA17">IFERROR(INDEX(datatypes!$A$2:$A$200,MATCH(0,INDEX(COUNTIF($BA$4:BA16,datatypes!$A$2:$A$200),0,0),0)),"")</f>
        <v>Collar gato mostacilla</v>
      </c>
      <c r="BB17" s="33">
        <f>Q17</f>
        <v>0</v>
      </c>
      <c r="BC17" s="69">
        <f t="shared" si="18"/>
        <v>0</v>
      </c>
    </row>
    <row r="18" spans="1:55" x14ac:dyDescent="0.3">
      <c r="G18" s="10" t="str" cm="1">
        <f t="array" ref="G18">IFERROR(INDEX(datatypes!$A$2:$A$200,MATCH(0,INDEX(COUNTIF($G$4:G17,datatypes!$A$2:$A$200),0,0),0)),"")</f>
        <v>Collar de tela perro</v>
      </c>
      <c r="H18" s="12">
        <f>SUMIF(Income!B:B,analitics!G18,Income!F:F)</f>
        <v>12000</v>
      </c>
      <c r="I18" s="14">
        <f>SUMIF(Income!B:B,analitics!G18,Income!D:D)</f>
        <v>2</v>
      </c>
      <c r="J18" s="69">
        <f t="shared" si="4"/>
        <v>6000</v>
      </c>
      <c r="N18" s="10" t="str" cm="1">
        <f t="array" ref="N18">IFERROR(INDEX(datatypes!$A$2:$A$200,MATCH(0,INDEX(COUNTIF($N$4:N17,datatypes!$A$2:$A$200),0,0),0)),"")</f>
        <v>Collar de tela perro</v>
      </c>
      <c r="O18" s="14">
        <f t="shared" si="5"/>
        <v>2</v>
      </c>
      <c r="P18" s="33">
        <f t="shared" si="12"/>
        <v>1019.3548387096774</v>
      </c>
      <c r="Q18" s="69">
        <f t="shared" si="6"/>
        <v>2038.7096774193549</v>
      </c>
      <c r="V18" s="10" t="str" cm="1">
        <f t="array" ref="V18">IFERROR(INDEX(datatypes!$A$2:$A$200,MATCH(0,INDEX(COUNTIF($V$4:V17,datatypes!$A$2:$A$200),0,0),0)),"")</f>
        <v>Collar de tela perro</v>
      </c>
      <c r="W18" s="89">
        <f t="shared" si="13"/>
        <v>0.83010752688172051</v>
      </c>
      <c r="X18" s="91">
        <f t="shared" si="14"/>
        <v>0.83010752688172051</v>
      </c>
      <c r="AC18" s="10" t="str" cm="1">
        <f t="array" ref="AC18">IFERROR(INDEX(datatypes!$A$2:$A$200,MATCH(0,INDEX(COUNTIF($AC$4:AC17,datatypes!$A$2:$A$200),0,0),0)),"")</f>
        <v>Collar de tela perro</v>
      </c>
      <c r="AD18" s="12">
        <f>SUMIF(Stock!B:B,analitics!AC18,Stock!F:F)</f>
        <v>31600</v>
      </c>
      <c r="AE18" s="14">
        <f>SUMIF(Stock!B:B,analitics!AC18,Stock!D:D)</f>
        <v>31</v>
      </c>
      <c r="AF18" s="69">
        <f t="shared" si="15"/>
        <v>1019.3548387096774</v>
      </c>
      <c r="AN18" s="10" t="str" cm="1">
        <f t="array" ref="AN18">IFERROR(INDEX(datatypes!$A$2:$A$200,MATCH(0,INDEX(COUNTIF($AC$4:AC17,datatypes!$A$2:$A$200),0,0),0)),"")</f>
        <v>Collar de tela perro</v>
      </c>
      <c r="AO18" s="14">
        <f>SUMIF(Income!B:B,analitics!AN18,Income!D:D)</f>
        <v>2</v>
      </c>
      <c r="AP18" s="14">
        <f>SUMIF(Stock!B:B,analitics!AN18,Stock!D:D)</f>
        <v>31</v>
      </c>
      <c r="AQ18" s="34">
        <f t="shared" si="8"/>
        <v>29</v>
      </c>
      <c r="AV18" s="10" t="str" cm="1">
        <f t="array" ref="AV18">IFERROR(INDEX(datatypes!$A$2:$A$200,MATCH(0,INDEX(COUNTIF($AV$4:AV17,datatypes!$A$2:$A$200),0,0),0)),"")</f>
        <v>Collar de tela perro</v>
      </c>
      <c r="AW18" s="33">
        <f t="shared" si="16"/>
        <v>12000</v>
      </c>
      <c r="AX18" s="94">
        <f t="shared" si="9"/>
        <v>7.7244980524609286E-3</v>
      </c>
      <c r="AZ18" s="33">
        <f t="shared" si="17"/>
        <v>12000</v>
      </c>
      <c r="BA18" s="14" t="str" cm="1">
        <f t="array" ref="BA18">IFERROR(INDEX(datatypes!$A$2:$A$200,MATCH(0,INDEX(COUNTIF($BA$4:BA17,datatypes!$A$2:$A$200),0,0),0)),"")</f>
        <v>Collar de tela perro</v>
      </c>
      <c r="BB18" s="33">
        <f t="shared" si="10"/>
        <v>2038.7096774193549</v>
      </c>
      <c r="BC18" s="69">
        <f t="shared" si="18"/>
        <v>9961.2903225806458</v>
      </c>
    </row>
    <row r="19" spans="1:55" x14ac:dyDescent="0.3">
      <c r="G19" s="10" t="str" cm="1">
        <f t="array" ref="G19">IFERROR(INDEX(datatypes!$A$2:$A$200,MATCH(0,INDEX(COUNTIF($G$4:G18,datatypes!$A$2:$A$200),0,0),0)),"")</f>
        <v>Correa de tela perro</v>
      </c>
      <c r="H19" s="12">
        <f>SUMIF(Income!B:B,analitics!G19,Income!F:F)</f>
        <v>6500</v>
      </c>
      <c r="I19" s="14">
        <f>SUMIF(Income!B:B,analitics!G19,Income!D:D)</f>
        <v>1</v>
      </c>
      <c r="J19" s="69">
        <f t="shared" si="4"/>
        <v>6500</v>
      </c>
      <c r="N19" s="10" t="str" cm="1">
        <f t="array" ref="N19">IFERROR(INDEX(datatypes!$A$2:$A$200,MATCH(0,INDEX(COUNTIF($N$4:N18,datatypes!$A$2:$A$200),0,0),0)),"")</f>
        <v>Correa de tela perro</v>
      </c>
      <c r="O19" s="14">
        <f t="shared" si="5"/>
        <v>1</v>
      </c>
      <c r="P19" s="33">
        <f t="shared" si="12"/>
        <v>1400</v>
      </c>
      <c r="Q19" s="69">
        <f t="shared" si="6"/>
        <v>1400</v>
      </c>
      <c r="V19" s="10" t="str" cm="1">
        <f t="array" ref="V19">IFERROR(INDEX(datatypes!$A$2:$A$200,MATCH(0,INDEX(COUNTIF($V$4:V18,datatypes!$A$2:$A$200),0,0),0)),"")</f>
        <v>Correa de tela perro</v>
      </c>
      <c r="W19" s="89">
        <f t="shared" si="13"/>
        <v>0.7846153846153846</v>
      </c>
      <c r="X19" s="91">
        <f t="shared" si="14"/>
        <v>0.7846153846153846</v>
      </c>
      <c r="AC19" s="10" t="str" cm="1">
        <f t="array" ref="AC19">IFERROR(INDEX(datatypes!$A$2:$A$200,MATCH(0,INDEX(COUNTIF($AC$4:AC18,datatypes!$A$2:$A$200),0,0),0)),"")</f>
        <v>Correa de tela perro</v>
      </c>
      <c r="AD19" s="12">
        <f>SUMIF(Stock!B:B,analitics!AC19,Stock!F:F)</f>
        <v>1400</v>
      </c>
      <c r="AE19" s="14">
        <f>SUMIF(Stock!B:B,analitics!AC19,Stock!D:D)</f>
        <v>1</v>
      </c>
      <c r="AF19" s="69">
        <f t="shared" si="15"/>
        <v>1400</v>
      </c>
      <c r="AN19" s="10" t="str" cm="1">
        <f t="array" ref="AN19">IFERROR(INDEX(datatypes!$A$2:$A$200,MATCH(0,INDEX(COUNTIF($AC$4:AC18,datatypes!$A$2:$A$200),0,0),0)),"")</f>
        <v>Correa de tela perro</v>
      </c>
      <c r="AO19" s="14">
        <f>SUMIF(Income!B:B,analitics!AN19,Income!D:D)</f>
        <v>1</v>
      </c>
      <c r="AP19" s="14">
        <f>SUMIF(Stock!B:B,analitics!AN19,Stock!D:D)</f>
        <v>1</v>
      </c>
      <c r="AQ19" s="34">
        <f t="shared" si="8"/>
        <v>0</v>
      </c>
      <c r="AV19" s="10" t="str" cm="1">
        <f t="array" ref="AV19">IFERROR(INDEX(datatypes!$A$2:$A$200,MATCH(0,INDEX(COUNTIF($AV$4:AV18,datatypes!$A$2:$A$200),0,0),0)),"")</f>
        <v>Correa de tela perro</v>
      </c>
      <c r="AW19" s="33">
        <f t="shared" si="16"/>
        <v>6500</v>
      </c>
      <c r="AX19" s="94">
        <f t="shared" si="9"/>
        <v>4.1841031117496692E-3</v>
      </c>
      <c r="AZ19" s="33">
        <f t="shared" si="17"/>
        <v>6500</v>
      </c>
      <c r="BA19" s="14" t="str" cm="1">
        <f t="array" ref="BA19">IFERROR(INDEX(datatypes!$A$2:$A$200,MATCH(0,INDEX(COUNTIF($BA$4:BA18,datatypes!$A$2:$A$200),0,0),0)),"")</f>
        <v>Correa de tela perro</v>
      </c>
      <c r="BB19" s="33">
        <f t="shared" si="10"/>
        <v>1400</v>
      </c>
      <c r="BC19" s="69">
        <f t="shared" si="18"/>
        <v>5100</v>
      </c>
    </row>
    <row r="20" spans="1:55" x14ac:dyDescent="0.3">
      <c r="A20" t="s">
        <v>26</v>
      </c>
      <c r="B20" t="s">
        <v>50</v>
      </c>
      <c r="C20" t="s">
        <v>24</v>
      </c>
      <c r="D20" t="s">
        <v>62</v>
      </c>
      <c r="G20" s="10" t="str" cm="1">
        <f t="array" ref="G20">IFERROR(INDEX(datatypes!$A$2:$A$200,MATCH(0,INDEX(COUNTIF($G$4:G19,datatypes!$A$2:$A$200),0,0),0)),"")</f>
        <v>Cama S</v>
      </c>
      <c r="H20" s="12">
        <f>SUMIF(Income!B:B,analitics!G20,Income!F:F)</f>
        <v>80000</v>
      </c>
      <c r="I20" s="14">
        <f>SUMIF(Income!B:B,analitics!G20,Income!D:D)</f>
        <v>4</v>
      </c>
      <c r="J20" s="69">
        <f t="shared" si="4"/>
        <v>20000</v>
      </c>
      <c r="N20" s="10" t="str" cm="1">
        <f t="array" ref="N20">IFERROR(INDEX(datatypes!$A$2:$A$200,MATCH(0,INDEX(COUNTIF($N$4:N19,datatypes!$A$2:$A$200),0,0),0)),"")</f>
        <v>Cama S</v>
      </c>
      <c r="O20" s="14">
        <f t="shared" si="5"/>
        <v>4</v>
      </c>
      <c r="P20" s="33">
        <f t="shared" si="12"/>
        <v>7000</v>
      </c>
      <c r="Q20" s="69">
        <f t="shared" si="6"/>
        <v>28000</v>
      </c>
      <c r="V20" s="10" t="str" cm="1">
        <f t="array" ref="V20">IFERROR(INDEX(datatypes!$A$2:$A$200,MATCH(0,INDEX(COUNTIF($V$4:V19,datatypes!$A$2:$A$200),0,0),0)),"")</f>
        <v>Cama S</v>
      </c>
      <c r="W20" s="89">
        <f t="shared" si="13"/>
        <v>0.65</v>
      </c>
      <c r="X20" s="91">
        <f t="shared" si="14"/>
        <v>0.65</v>
      </c>
      <c r="AC20" s="10" t="str" cm="1">
        <f t="array" ref="AC20">IFERROR(INDEX(datatypes!$A$2:$A$200,MATCH(0,INDEX(COUNTIF($AC$4:AC19,datatypes!$A$2:$A$200),0,0),0)),"")</f>
        <v>Cama S</v>
      </c>
      <c r="AD20" s="12">
        <f>SUMIF(Stock!B:B,analitics!AC20,Stock!F:F)</f>
        <v>42000</v>
      </c>
      <c r="AE20" s="14">
        <f>SUMIF(Stock!B:B,analitics!AC20,Stock!D:D)</f>
        <v>6</v>
      </c>
      <c r="AF20" s="69">
        <f t="shared" si="15"/>
        <v>7000</v>
      </c>
      <c r="AN20" s="10" t="str" cm="1">
        <f t="array" ref="AN20">IFERROR(INDEX(datatypes!$A$2:$A$200,MATCH(0,INDEX(COUNTIF($AC$4:AC19,datatypes!$A$2:$A$200),0,0),0)),"")</f>
        <v>Cama S</v>
      </c>
      <c r="AO20" s="14">
        <f>SUMIF(Income!B:B,analitics!AN20,Income!D:D)</f>
        <v>4</v>
      </c>
      <c r="AP20" s="14">
        <f>SUMIF(Stock!B:B,analitics!AN20,Stock!D:D)</f>
        <v>6</v>
      </c>
      <c r="AQ20" s="34">
        <f t="shared" si="8"/>
        <v>2</v>
      </c>
      <c r="AV20" s="10" t="str" cm="1">
        <f t="array" ref="AV20">IFERROR(INDEX(datatypes!$A$2:$A$200,MATCH(0,INDEX(COUNTIF($AV$4:AV19,datatypes!$A$2:$A$200),0,0),0)),"")</f>
        <v>Cama S</v>
      </c>
      <c r="AW20" s="33">
        <f t="shared" si="16"/>
        <v>80000</v>
      </c>
      <c r="AX20" s="94">
        <f t="shared" si="9"/>
        <v>5.1496653683072859E-2</v>
      </c>
      <c r="AZ20" s="33">
        <f t="shared" si="17"/>
        <v>80000</v>
      </c>
      <c r="BA20" s="14" t="str" cm="1">
        <f t="array" ref="BA20">IFERROR(INDEX(datatypes!$A$2:$A$200,MATCH(0,INDEX(COUNTIF($BA$4:BA19,datatypes!$A$2:$A$200),0,0),0)),"")</f>
        <v>Cama S</v>
      </c>
      <c r="BB20" s="33">
        <f t="shared" si="10"/>
        <v>28000</v>
      </c>
      <c r="BC20" s="69">
        <f t="shared" si="18"/>
        <v>52000</v>
      </c>
    </row>
    <row r="21" spans="1:55" x14ac:dyDescent="0.3">
      <c r="A21" t="s">
        <v>18</v>
      </c>
      <c r="B21" s="7">
        <f>SUMIFS(otros!B:B,otros!E:E,analitics!$A$21,otros!C:C,analitics!B20,otros!D:D,"&lt;&gt;Bencina")</f>
        <v>0</v>
      </c>
      <c r="C21" s="7">
        <f>SUMIFS(otros!B:B,otros!E:E,analitics!A21,otros!C:C,analitics!C20)</f>
        <v>0</v>
      </c>
      <c r="D21" s="7">
        <f>SUMIFS(otros!B:B,otros!D:D,"Bencina",otros!E:E,analitics!A21)</f>
        <v>0</v>
      </c>
      <c r="E21" s="8">
        <f>C21-B21-D21</f>
        <v>0</v>
      </c>
      <c r="G21" s="10" t="str" cm="1">
        <f t="array" ref="G21">IFERROR(INDEX(datatypes!$A$2:$A$200,MATCH(0,INDEX(COUNTIF($G$4:G20,datatypes!$A$2:$A$200),0,0),0)),"")</f>
        <v>Cama M</v>
      </c>
      <c r="H21" s="12">
        <f>SUMIF(Income!B:B,analitics!G21,Income!F:F)</f>
        <v>279600</v>
      </c>
      <c r="I21" s="14">
        <f>SUMIF(Income!B:B,analitics!G21,Income!D:D)</f>
        <v>11</v>
      </c>
      <c r="J21" s="69">
        <f t="shared" si="4"/>
        <v>25418.18181818182</v>
      </c>
      <c r="N21" s="10" t="str" cm="1">
        <f t="array" ref="N21">IFERROR(INDEX(datatypes!$A$2:$A$200,MATCH(0,INDEX(COUNTIF($N$4:N20,datatypes!$A$2:$A$200),0,0),0)),"")</f>
        <v>Cama M</v>
      </c>
      <c r="O21" s="14">
        <f t="shared" si="5"/>
        <v>11</v>
      </c>
      <c r="P21" s="33">
        <f t="shared" si="12"/>
        <v>9923.0769230769238</v>
      </c>
      <c r="Q21" s="69">
        <f t="shared" si="6"/>
        <v>109153.84615384616</v>
      </c>
      <c r="V21" s="10" t="str" cm="1">
        <f t="array" ref="V21">IFERROR(INDEX(datatypes!$A$2:$A$200,MATCH(0,INDEX(COUNTIF($V$4:V20,datatypes!$A$2:$A$200),0,0),0)),"")</f>
        <v>Cama M</v>
      </c>
      <c r="W21" s="89">
        <f t="shared" si="13"/>
        <v>0.60960713106635855</v>
      </c>
      <c r="X21" s="91">
        <f t="shared" si="14"/>
        <v>0.60960713106635855</v>
      </c>
      <c r="AC21" s="10" t="str" cm="1">
        <f t="array" ref="AC21">IFERROR(INDEX(datatypes!$A$2:$A$200,MATCH(0,INDEX(COUNTIF($AC$4:AC20,datatypes!$A$2:$A$200),0,0),0)),"")</f>
        <v>Cama M</v>
      </c>
      <c r="AD21" s="12">
        <f>SUMIF(Stock!B:B,analitics!AC21,Stock!F:F)</f>
        <v>129000</v>
      </c>
      <c r="AE21" s="14">
        <f>SUMIF(Stock!B:B,analitics!AC21,Stock!D:D)</f>
        <v>13</v>
      </c>
      <c r="AF21" s="69">
        <f t="shared" si="15"/>
        <v>9923.0769230769238</v>
      </c>
      <c r="AN21" s="10" t="str" cm="1">
        <f t="array" ref="AN21">IFERROR(INDEX(datatypes!$A$2:$A$200,MATCH(0,INDEX(COUNTIF($AC$4:AC20,datatypes!$A$2:$A$200),0,0),0)),"")</f>
        <v>Cama M</v>
      </c>
      <c r="AO21" s="14">
        <f>SUMIF(Income!B:B,analitics!AN21,Income!D:D)</f>
        <v>11</v>
      </c>
      <c r="AP21" s="14">
        <f>SUMIF(Stock!B:B,analitics!AN21,Stock!D:D)</f>
        <v>13</v>
      </c>
      <c r="AQ21" s="34">
        <f t="shared" si="8"/>
        <v>2</v>
      </c>
      <c r="AV21" s="10" t="str" cm="1">
        <f t="array" ref="AV21">IFERROR(INDEX(datatypes!$A$2:$A$200,MATCH(0,INDEX(COUNTIF($AV$4:AV20,datatypes!$A$2:$A$200),0,0),0)),"")</f>
        <v>Cama M</v>
      </c>
      <c r="AW21" s="33">
        <f t="shared" si="16"/>
        <v>279600</v>
      </c>
      <c r="AX21" s="94">
        <f t="shared" si="9"/>
        <v>0.17998080462233965</v>
      </c>
      <c r="AZ21" s="33">
        <f t="shared" si="17"/>
        <v>279600</v>
      </c>
      <c r="BA21" s="14" t="str" cm="1">
        <f t="array" ref="BA21">IFERROR(INDEX(datatypes!$A$2:$A$200,MATCH(0,INDEX(COUNTIF($BA$4:BA20,datatypes!$A$2:$A$200),0,0),0)),"")</f>
        <v>Cama M</v>
      </c>
      <c r="BB21" s="33">
        <f t="shared" si="10"/>
        <v>109153.84615384616</v>
      </c>
      <c r="BC21" s="69">
        <f t="shared" si="18"/>
        <v>170446.15384615384</v>
      </c>
    </row>
    <row r="22" spans="1:55" x14ac:dyDescent="0.3">
      <c r="A22" t="s">
        <v>17</v>
      </c>
      <c r="B22" s="7">
        <f>SUMIFS(otros!B:B,otros!C:C,analitics!B20,otros!E:E,analitics!A22,otros!D:D,"&lt;&gt;Bencina")</f>
        <v>55600</v>
      </c>
      <c r="C22" s="7">
        <f>SUMIFS(otros!B:B,otros!C:C,analitics!C20,otros!E:E,analitics!A22)</f>
        <v>0</v>
      </c>
      <c r="D22" s="7">
        <f>SUMIFS(otros!B:B,otros!D:D,"Bencina",otros!E:E,analitics!A22)</f>
        <v>0</v>
      </c>
      <c r="E22" s="8">
        <f>C22-B22-D22</f>
        <v>-55600</v>
      </c>
      <c r="G22" s="10" t="str" cm="1">
        <f t="array" ref="G22">IFERROR(INDEX(datatypes!$A$2:$A$200,MATCH(0,INDEX(COUNTIF($G$4:G21,datatypes!$A$2:$A$200),0,0),0)),"")</f>
        <v>Cama L</v>
      </c>
      <c r="H22" s="12">
        <f>SUMIF(Income!B:B,analitics!G22,Income!F:F)</f>
        <v>209600</v>
      </c>
      <c r="I22" s="14">
        <f>SUMIF(Income!B:B,analitics!G22,Income!D:D)</f>
        <v>7</v>
      </c>
      <c r="J22" s="69">
        <f t="shared" si="4"/>
        <v>29942.857142857141</v>
      </c>
      <c r="N22" s="10" t="str" cm="1">
        <f t="array" ref="N22">IFERROR(INDEX(datatypes!$A$2:$A$200,MATCH(0,INDEX(COUNTIF($N$4:N21,datatypes!$A$2:$A$200),0,0),0)),"")</f>
        <v>Cama L</v>
      </c>
      <c r="O22" s="14">
        <f t="shared" si="5"/>
        <v>7</v>
      </c>
      <c r="P22" s="33">
        <f t="shared" si="12"/>
        <v>13000</v>
      </c>
      <c r="Q22" s="69">
        <f t="shared" si="6"/>
        <v>91000</v>
      </c>
      <c r="V22" s="10" t="str" cm="1">
        <f t="array" ref="V22">IFERROR(INDEX(datatypes!$A$2:$A$200,MATCH(0,INDEX(COUNTIF($V$4:V21,datatypes!$A$2:$A$200),0,0),0)),"")</f>
        <v>Cama L</v>
      </c>
      <c r="W22" s="89">
        <f t="shared" si="13"/>
        <v>0.56583969465648853</v>
      </c>
      <c r="X22" s="91">
        <f t="shared" si="14"/>
        <v>0.56583969465648853</v>
      </c>
      <c r="AC22" s="10" t="str" cm="1">
        <f t="array" ref="AC22">IFERROR(INDEX(datatypes!$A$2:$A$200,MATCH(0,INDEX(COUNTIF($AC$4:AC21,datatypes!$A$2:$A$200),0,0),0)),"")</f>
        <v>Cama L</v>
      </c>
      <c r="AD22" s="12">
        <f>SUMIF(Stock!B:B,analitics!AC22,Stock!F:F)</f>
        <v>169000</v>
      </c>
      <c r="AE22" s="14">
        <f>SUMIF(Stock!B:B,analitics!AC22,Stock!D:D)</f>
        <v>13</v>
      </c>
      <c r="AF22" s="69">
        <f t="shared" si="15"/>
        <v>13000</v>
      </c>
      <c r="AN22" s="10" t="str" cm="1">
        <f t="array" ref="AN22">IFERROR(INDEX(datatypes!$A$2:$A$200,MATCH(0,INDEX(COUNTIF($AC$4:AC21,datatypes!$A$2:$A$200),0,0),0)),"")</f>
        <v>Cama L</v>
      </c>
      <c r="AO22" s="14">
        <f>SUMIF(Income!B:B,analitics!AN22,Income!D:D)</f>
        <v>7</v>
      </c>
      <c r="AP22" s="14">
        <f>SUMIF(Stock!B:B,analitics!AN22,Stock!D:D)</f>
        <v>13</v>
      </c>
      <c r="AQ22" s="34">
        <f t="shared" si="8"/>
        <v>6</v>
      </c>
      <c r="AV22" s="10" t="str" cm="1">
        <f t="array" ref="AV22">IFERROR(INDEX(datatypes!$A$2:$A$200,MATCH(0,INDEX(COUNTIF($AV$4:AV21,datatypes!$A$2:$A$200),0,0),0)),"")</f>
        <v>Cama L</v>
      </c>
      <c r="AW22" s="33">
        <f t="shared" si="16"/>
        <v>209600</v>
      </c>
      <c r="AX22" s="94">
        <f t="shared" si="9"/>
        <v>0.13492123264965089</v>
      </c>
      <c r="AZ22" s="33">
        <f t="shared" si="17"/>
        <v>209600</v>
      </c>
      <c r="BA22" s="14" t="str" cm="1">
        <f t="array" ref="BA22">IFERROR(INDEX(datatypes!$A$2:$A$200,MATCH(0,INDEX(COUNTIF($BA$4:BA21,datatypes!$A$2:$A$200),0,0),0)),"")</f>
        <v>Cama L</v>
      </c>
      <c r="BB22" s="33">
        <f t="shared" si="10"/>
        <v>91000</v>
      </c>
      <c r="BC22" s="69">
        <f>AZ22-BB22</f>
        <v>118600</v>
      </c>
    </row>
    <row r="23" spans="1:55" x14ac:dyDescent="0.3">
      <c r="G23" s="10" t="str" cm="1">
        <f t="array" ref="G23">IFERROR(INDEX(datatypes!$A$2:$A$200,MATCH(0,INDEX(COUNTIF($G$4:G22,datatypes!$A$2:$A$200),0,0),0)),"")</f>
        <v>Cama XL</v>
      </c>
      <c r="H23" s="12">
        <f>SUMIF(Income!B:B,analitics!G23,Income!F:F)</f>
        <v>489400</v>
      </c>
      <c r="I23" s="14">
        <f>SUMIF(Income!B:B,analitics!G23,Income!D:D)</f>
        <v>13</v>
      </c>
      <c r="J23" s="69">
        <f>IFERROR(H23/I23,0)</f>
        <v>37646.153846153844</v>
      </c>
      <c r="N23" s="10" t="str" cm="1">
        <f t="array" ref="N23">IFERROR(INDEX(datatypes!$A$2:$A$200,MATCH(0,INDEX(COUNTIF($N$4:N22,datatypes!$A$2:$A$200),0,0),0)),"")</f>
        <v>Cama XL</v>
      </c>
      <c r="O23" s="14">
        <f t="shared" si="5"/>
        <v>13</v>
      </c>
      <c r="P23" s="33">
        <f t="shared" si="12"/>
        <v>16533.333333333332</v>
      </c>
      <c r="Q23" s="69">
        <f t="shared" si="6"/>
        <v>214933.33333333331</v>
      </c>
      <c r="V23" s="10" t="str" cm="1">
        <f t="array" ref="V23">IFERROR(INDEX(datatypes!$A$2:$A$200,MATCH(0,INDEX(COUNTIF($V$4:V22,datatypes!$A$2:$A$200),0,0),0)),"")</f>
        <v>Cama XL</v>
      </c>
      <c r="W23" s="89">
        <f t="shared" si="13"/>
        <v>0.56082277618853016</v>
      </c>
      <c r="X23" s="91">
        <f t="shared" si="14"/>
        <v>0.56082277618853016</v>
      </c>
      <c r="AC23" s="10" t="str" cm="1">
        <f t="array" ref="AC23">IFERROR(INDEX(datatypes!$A$2:$A$200,MATCH(0,INDEX(COUNTIF($AC$4:AC22,datatypes!$A$2:$A$200),0,0),0)),"")</f>
        <v>Cama XL</v>
      </c>
      <c r="AD23" s="12">
        <f>SUMIF(Stock!B:B,analitics!AC23,Stock!F:F)</f>
        <v>248000</v>
      </c>
      <c r="AE23" s="14">
        <f>SUMIF(Stock!B:B,analitics!AC23,Stock!D:D)</f>
        <v>15</v>
      </c>
      <c r="AF23" s="69">
        <f t="shared" si="15"/>
        <v>16533.333333333332</v>
      </c>
      <c r="AN23" s="10" t="str" cm="1">
        <f t="array" ref="AN23">IFERROR(INDEX(datatypes!$A$2:$A$200,MATCH(0,INDEX(COUNTIF($AC$4:AC22,datatypes!$A$2:$A$200),0,0),0)),"")</f>
        <v>Cama XL</v>
      </c>
      <c r="AO23" s="14">
        <f>SUMIF(Income!B:B,analitics!AN23,Income!D:D)</f>
        <v>13</v>
      </c>
      <c r="AP23" s="14">
        <f>SUMIF(Stock!B:B,analitics!AN23,Stock!D:D)</f>
        <v>15</v>
      </c>
      <c r="AQ23" s="34">
        <f t="shared" si="8"/>
        <v>2</v>
      </c>
      <c r="AV23" s="10" t="str" cm="1">
        <f t="array" ref="AV23">IFERROR(INDEX(datatypes!$A$2:$A$200,MATCH(0,INDEX(COUNTIF($AV$4:AV22,datatypes!$A$2:$A$200),0,0),0)),"")</f>
        <v>Cama XL</v>
      </c>
      <c r="AW23" s="33">
        <f t="shared" si="16"/>
        <v>489400</v>
      </c>
      <c r="AX23" s="94">
        <f t="shared" si="9"/>
        <v>0.31503077890619818</v>
      </c>
      <c r="AZ23" s="33">
        <f t="shared" si="17"/>
        <v>489400</v>
      </c>
      <c r="BA23" s="14" t="str" cm="1">
        <f t="array" ref="BA23">IFERROR(INDEX(datatypes!$A$2:$A$200,MATCH(0,INDEX(COUNTIF($BA$4:BA22,datatypes!$A$2:$A$200),0,0),0)),"")</f>
        <v>Cama XL</v>
      </c>
      <c r="BB23" s="33">
        <f t="shared" si="10"/>
        <v>214933.33333333331</v>
      </c>
      <c r="BC23" s="69">
        <f t="shared" si="18"/>
        <v>274466.66666666669</v>
      </c>
    </row>
    <row r="24" spans="1:55" x14ac:dyDescent="0.3">
      <c r="G24" s="10" t="str" cm="1">
        <f t="array" ref="G24">IFERROR(INDEX(datatypes!$A$2:$A$200,MATCH(0,INDEX(COUNTIF($G$4:G23,datatypes!$A$2:$A$200),0,0),0)),"")</f>
        <v>ARNES L</v>
      </c>
      <c r="H24" s="12">
        <f>SUMIF(Income!B:B,analitics!G24,Income!F:F)</f>
        <v>6000</v>
      </c>
      <c r="I24" s="14">
        <f>SUMIF(Income!B:B,analitics!G24,Income!D:D)</f>
        <v>1</v>
      </c>
      <c r="J24" s="69">
        <f t="shared" si="4"/>
        <v>6000</v>
      </c>
      <c r="N24" s="10" t="str" cm="1">
        <f t="array" ref="N24">IFERROR(INDEX(datatypes!$A$2:$A$200,MATCH(0,INDEX(COUNTIF($N$4:N23,datatypes!$A$2:$A$200),0,0),0)),"")</f>
        <v>ARNES L</v>
      </c>
      <c r="O24" s="14">
        <f t="shared" si="5"/>
        <v>1</v>
      </c>
      <c r="P24" s="33">
        <f>AF24</f>
        <v>2370</v>
      </c>
      <c r="Q24" s="69">
        <f t="shared" si="6"/>
        <v>2370</v>
      </c>
      <c r="V24" s="10" t="str" cm="1">
        <f t="array" ref="V24">IFERROR(INDEX(datatypes!$A$2:$A$200,MATCH(0,INDEX(COUNTIF($V$4:V23,datatypes!$A$2:$A$200),0,0),0)),"")</f>
        <v>ARNES L</v>
      </c>
      <c r="W24" s="89">
        <f t="shared" si="13"/>
        <v>0.60499999999999998</v>
      </c>
      <c r="X24" s="91">
        <f t="shared" si="14"/>
        <v>0.60499999999999998</v>
      </c>
      <c r="AC24" s="10" t="str" cm="1">
        <f t="array" ref="AC24">IFERROR(INDEX(datatypes!$A$2:$A$200,MATCH(0,INDEX(COUNTIF($AC$4:AC23,datatypes!$A$2:$A$200),0,0),0)),"")</f>
        <v>ARNES L</v>
      </c>
      <c r="AD24" s="12">
        <f>SUMIF(Stock!B:B,analitics!AC24,Stock!F:F)</f>
        <v>11850</v>
      </c>
      <c r="AE24" s="14">
        <f>SUMIF(Stock!B:B,analitics!AC24,Stock!D:D)</f>
        <v>5</v>
      </c>
      <c r="AF24" s="69">
        <f t="shared" si="15"/>
        <v>2370</v>
      </c>
      <c r="AN24" s="10" t="str" cm="1">
        <f t="array" ref="AN24">IFERROR(INDEX(datatypes!$A$2:$A$200,MATCH(0,INDEX(COUNTIF($AC$4:AC23,datatypes!$A$2:$A$200),0,0),0)),"")</f>
        <v>ARNES L</v>
      </c>
      <c r="AO24" s="14">
        <f>SUMIF(Income!B:B,analitics!AN24,Income!D:D)</f>
        <v>1</v>
      </c>
      <c r="AP24" s="14">
        <f>SUMIF(Stock!B:B,analitics!AN24,Stock!D:D)</f>
        <v>5</v>
      </c>
      <c r="AQ24" s="34">
        <f t="shared" si="8"/>
        <v>4</v>
      </c>
      <c r="AV24" s="10" t="str" cm="1">
        <f t="array" ref="AV24">IFERROR(INDEX(datatypes!$A$2:$A$200,MATCH(0,INDEX(COUNTIF($AV$4:AV23,datatypes!$A$2:$A$200),0,0),0)),"")</f>
        <v>ARNES L</v>
      </c>
      <c r="AW24" s="33">
        <f t="shared" si="16"/>
        <v>6000</v>
      </c>
      <c r="AX24" s="94">
        <f t="shared" si="9"/>
        <v>3.8622490262304643E-3</v>
      </c>
      <c r="AZ24" s="33">
        <f t="shared" si="17"/>
        <v>6000</v>
      </c>
      <c r="BA24" s="14" t="str" cm="1">
        <f t="array" ref="BA24">IFERROR(INDEX(datatypes!$A$2:$A$200,MATCH(0,INDEX(COUNTIF($BA$4:BA23,datatypes!$A$2:$A$200),0,0),0)),"")</f>
        <v>ARNES L</v>
      </c>
      <c r="BB24" s="33">
        <f t="shared" si="10"/>
        <v>2370</v>
      </c>
      <c r="BC24" s="69">
        <f t="shared" si="18"/>
        <v>3630</v>
      </c>
    </row>
    <row r="25" spans="1:55" x14ac:dyDescent="0.3">
      <c r="G25" s="10" t="str" cm="1">
        <f t="array" ref="G25">IFERROR(INDEX(datatypes!$A$2:$A$200,MATCH(0,INDEX(COUNTIF($G$4:G24,datatypes!$A$2:$A$200),0,0),0)),"")</f>
        <v>CORREA L</v>
      </c>
      <c r="H25" s="12">
        <f>SUMIF(Income!B:B,analitics!G25,Income!F:F)</f>
        <v>6000</v>
      </c>
      <c r="I25" s="14">
        <f>SUMIF(Income!B:B,analitics!G25,Income!D:D)</f>
        <v>1</v>
      </c>
      <c r="J25" s="69">
        <f t="shared" si="4"/>
        <v>6000</v>
      </c>
      <c r="N25" s="10" t="str" cm="1">
        <f t="array" ref="N25">IFERROR(INDEX(datatypes!$A$2:$A$200,MATCH(0,INDEX(COUNTIF($N$4:N24,datatypes!$A$2:$A$200),0,0),0)),"")</f>
        <v>CORREA L</v>
      </c>
      <c r="O25" s="14">
        <f t="shared" si="5"/>
        <v>1</v>
      </c>
      <c r="P25" s="33">
        <f t="shared" si="12"/>
        <v>1670</v>
      </c>
      <c r="Q25" s="69">
        <f t="shared" si="6"/>
        <v>1670</v>
      </c>
      <c r="V25" s="10" t="str" cm="1">
        <f t="array" ref="V25">IFERROR(INDEX(datatypes!$A$2:$A$200,MATCH(0,INDEX(COUNTIF($V$4:V24,datatypes!$A$2:$A$200),0,0),0)),"")</f>
        <v>CORREA L</v>
      </c>
      <c r="W25" s="89">
        <f t="shared" si="13"/>
        <v>0.72166666666666668</v>
      </c>
      <c r="X25" s="91">
        <f t="shared" si="14"/>
        <v>0.72166666666666668</v>
      </c>
      <c r="AC25" s="10" t="str" cm="1">
        <f t="array" ref="AC25">IFERROR(INDEX(datatypes!$A$2:$A$200,MATCH(0,INDEX(COUNTIF($AC$4:AC24,datatypes!$A$2:$A$200),0,0),0)),"")</f>
        <v>CORREA L</v>
      </c>
      <c r="AD25" s="12">
        <f>SUMIF(Stock!B:B,analitics!AC25,Stock!F:F)</f>
        <v>8350</v>
      </c>
      <c r="AE25" s="14">
        <f>SUMIF(Stock!B:B,analitics!AC25,Stock!D:D)</f>
        <v>5</v>
      </c>
      <c r="AF25" s="69">
        <f t="shared" si="15"/>
        <v>1670</v>
      </c>
      <c r="AN25" s="10" t="str" cm="1">
        <f t="array" ref="AN25">IFERROR(INDEX(datatypes!$A$2:$A$200,MATCH(0,INDEX(COUNTIF($AC$4:AC24,datatypes!$A$2:$A$200),0,0),0)),"")</f>
        <v>CORREA L</v>
      </c>
      <c r="AO25" s="14">
        <f>SUMIF(Income!B:B,analitics!AN25,Income!D:D)</f>
        <v>1</v>
      </c>
      <c r="AP25" s="14">
        <f>SUMIF(Stock!B:B,analitics!AN25,Stock!D:D)</f>
        <v>5</v>
      </c>
      <c r="AQ25" s="34">
        <f t="shared" si="8"/>
        <v>4</v>
      </c>
      <c r="AV25" s="10" t="str" cm="1">
        <f t="array" ref="AV25">IFERROR(INDEX(datatypes!$A$2:$A$200,MATCH(0,INDEX(COUNTIF($AV$4:AV24,datatypes!$A$2:$A$200),0,0),0)),"")</f>
        <v>CORREA L</v>
      </c>
      <c r="AW25" s="33">
        <f t="shared" si="16"/>
        <v>6000</v>
      </c>
      <c r="AX25" s="94">
        <f t="shared" si="9"/>
        <v>3.8622490262304643E-3</v>
      </c>
      <c r="AZ25" s="33">
        <f t="shared" si="17"/>
        <v>6000</v>
      </c>
      <c r="BA25" s="14" t="str" cm="1">
        <f t="array" ref="BA25">IFERROR(INDEX(datatypes!$A$2:$A$200,MATCH(0,INDEX(COUNTIF($BA$4:BA24,datatypes!$A$2:$A$200),0,0),0)),"")</f>
        <v>CORREA L</v>
      </c>
      <c r="BB25" s="33">
        <f t="shared" si="10"/>
        <v>1670</v>
      </c>
      <c r="BC25" s="69">
        <f t="shared" si="18"/>
        <v>4330</v>
      </c>
    </row>
    <row r="26" spans="1:55" x14ac:dyDescent="0.3">
      <c r="G26" s="10" t="str" cm="1">
        <f t="array" ref="G26">IFERROR(INDEX(datatypes!$A$2:$A$200,MATCH(0,INDEX(COUNTIF($G$4:G25,datatypes!$A$2:$A$200),0,0),0)),"")</f>
        <v>ARNES M</v>
      </c>
      <c r="H26" s="12">
        <f>SUMIF(Income!B:B,analitics!G26,Income!F:F)</f>
        <v>6000</v>
      </c>
      <c r="I26" s="14">
        <f>SUMIF(Income!B:B,analitics!G26,Income!D:D)</f>
        <v>1</v>
      </c>
      <c r="J26" s="69">
        <f t="shared" si="4"/>
        <v>6000</v>
      </c>
      <c r="N26" s="10" t="str" cm="1">
        <f t="array" ref="N26">IFERROR(INDEX(datatypes!$A$2:$A$200,MATCH(0,INDEX(COUNTIF($N$4:N25,datatypes!$A$2:$A$200),0,0),0)),"")</f>
        <v>ARNES M</v>
      </c>
      <c r="O26" s="14">
        <f t="shared" si="5"/>
        <v>1</v>
      </c>
      <c r="P26" s="33">
        <f t="shared" si="12"/>
        <v>1900</v>
      </c>
      <c r="Q26" s="69">
        <f t="shared" si="6"/>
        <v>1900</v>
      </c>
      <c r="V26" s="10" t="str" cm="1">
        <f t="array" ref="V26">IFERROR(INDEX(datatypes!$A$2:$A$200,MATCH(0,INDEX(COUNTIF($V$4:V25,datatypes!$A$2:$A$200),0,0),0)),"")</f>
        <v>ARNES M</v>
      </c>
      <c r="W26" s="89">
        <f t="shared" si="13"/>
        <v>0.68333333333333335</v>
      </c>
      <c r="X26" s="91">
        <f t="shared" si="14"/>
        <v>0.68333333333333335</v>
      </c>
      <c r="AC26" s="10" t="str" cm="1">
        <f t="array" ref="AC26">IFERROR(INDEX(datatypes!$A$2:$A$200,MATCH(0,INDEX(COUNTIF($AC$4:AC25,datatypes!$A$2:$A$200),0,0),0)),"")</f>
        <v>ARNES M</v>
      </c>
      <c r="AD26" s="12">
        <f>SUMIF(Stock!B:B,analitics!AC26,Stock!F:F)</f>
        <v>9500</v>
      </c>
      <c r="AE26" s="14">
        <f>SUMIF(Stock!B:B,analitics!AC26,Stock!D:D)</f>
        <v>5</v>
      </c>
      <c r="AF26" s="69">
        <f t="shared" si="15"/>
        <v>1900</v>
      </c>
      <c r="AN26" s="10" t="str" cm="1">
        <f t="array" ref="AN26">IFERROR(INDEX(datatypes!$A$2:$A$200,MATCH(0,INDEX(COUNTIF($AC$4:AC25,datatypes!$A$2:$A$200),0,0),0)),"")</f>
        <v>ARNES M</v>
      </c>
      <c r="AO26" s="14">
        <f>SUMIF(Income!B:B,analitics!AN26,Income!D:D)</f>
        <v>1</v>
      </c>
      <c r="AP26" s="14">
        <f>SUMIF(Stock!B:B,analitics!AN26,Stock!D:D)</f>
        <v>5</v>
      </c>
      <c r="AQ26" s="34">
        <f t="shared" si="8"/>
        <v>4</v>
      </c>
      <c r="AV26" s="10" t="str" cm="1">
        <f t="array" ref="AV26">IFERROR(INDEX(datatypes!$A$2:$A$200,MATCH(0,INDEX(COUNTIF($AV$4:AV25,datatypes!$A$2:$A$200),0,0),0)),"")</f>
        <v>ARNES M</v>
      </c>
      <c r="AW26" s="33">
        <f t="shared" si="16"/>
        <v>6000</v>
      </c>
      <c r="AX26" s="94">
        <f t="shared" si="9"/>
        <v>3.8622490262304643E-3</v>
      </c>
      <c r="AZ26" s="33">
        <f t="shared" si="17"/>
        <v>6000</v>
      </c>
      <c r="BA26" s="14" t="str" cm="1">
        <f t="array" ref="BA26">IFERROR(INDEX(datatypes!$A$2:$A$200,MATCH(0,INDEX(COUNTIF($BA$4:BA25,datatypes!$A$2:$A$200),0,0),0)),"")</f>
        <v>ARNES M</v>
      </c>
      <c r="BB26" s="33">
        <f t="shared" si="10"/>
        <v>1900</v>
      </c>
      <c r="BC26" s="69">
        <f t="shared" si="18"/>
        <v>4100</v>
      </c>
    </row>
    <row r="27" spans="1:55" x14ac:dyDescent="0.3">
      <c r="G27" s="10" t="str" cm="1">
        <f t="array" ref="G27">IFERROR(INDEX(datatypes!$A$2:$A$200,MATCH(0,INDEX(COUNTIF($G$4:G26,datatypes!$A$2:$A$200),0,0),0)),"")</f>
        <v>CORREA M</v>
      </c>
      <c r="H27" s="12">
        <f>SUMIF(Income!B:B,analitics!G27,Income!F:F)</f>
        <v>6000</v>
      </c>
      <c r="I27" s="14">
        <f>SUMIF(Income!B:B,analitics!G27,Income!D:D)</f>
        <v>1</v>
      </c>
      <c r="J27" s="69">
        <f t="shared" si="4"/>
        <v>6000</v>
      </c>
      <c r="N27" s="10" t="str" cm="1">
        <f t="array" ref="N27">IFERROR(INDEX(datatypes!$A$2:$A$200,MATCH(0,INDEX(COUNTIF($N$4:N26,datatypes!$A$2:$A$200),0,0),0)),"")</f>
        <v>CORREA M</v>
      </c>
      <c r="O27" s="14">
        <f t="shared" si="5"/>
        <v>1</v>
      </c>
      <c r="P27" s="33">
        <f t="shared" si="12"/>
        <v>820</v>
      </c>
      <c r="Q27" s="69">
        <f t="shared" si="6"/>
        <v>820</v>
      </c>
      <c r="V27" s="10" t="str" cm="1">
        <f t="array" ref="V27">IFERROR(INDEX(datatypes!$A$2:$A$200,MATCH(0,INDEX(COUNTIF($V$4:V26,datatypes!$A$2:$A$200),0,0),0)),"")</f>
        <v>CORREA M</v>
      </c>
      <c r="W27" s="89">
        <f t="shared" si="13"/>
        <v>0.86333333333333329</v>
      </c>
      <c r="X27" s="91">
        <f t="shared" si="14"/>
        <v>0.86333333333333329</v>
      </c>
      <c r="AC27" s="10" t="str" cm="1">
        <f t="array" ref="AC27">IFERROR(INDEX(datatypes!$A$2:$A$200,MATCH(0,INDEX(COUNTIF($AC$4:AC26,datatypes!$A$2:$A$200),0,0),0)),"")</f>
        <v>CORREA M</v>
      </c>
      <c r="AD27" s="12">
        <f>SUMIF(Stock!B:B,analitics!AC27,Stock!F:F)</f>
        <v>4100</v>
      </c>
      <c r="AE27" s="14">
        <f>SUMIF(Stock!B:B,analitics!AC27,Stock!D:D)</f>
        <v>5</v>
      </c>
      <c r="AF27" s="69">
        <f t="shared" si="15"/>
        <v>820</v>
      </c>
      <c r="AN27" s="10" t="str" cm="1">
        <f t="array" ref="AN27">IFERROR(INDEX(datatypes!$A$2:$A$200,MATCH(0,INDEX(COUNTIF($AC$4:AC26,datatypes!$A$2:$A$200),0,0),0)),"")</f>
        <v>CORREA M</v>
      </c>
      <c r="AO27" s="14">
        <f>SUMIF(Income!B:B,analitics!AN27,Income!D:D)</f>
        <v>1</v>
      </c>
      <c r="AP27" s="14">
        <f>SUMIF(Stock!B:B,analitics!AN27,Stock!D:D)</f>
        <v>5</v>
      </c>
      <c r="AQ27" s="34">
        <f t="shared" si="8"/>
        <v>4</v>
      </c>
      <c r="AV27" s="10" t="str" cm="1">
        <f t="array" ref="AV27">IFERROR(INDEX(datatypes!$A$2:$A$200,MATCH(0,INDEX(COUNTIF($AV$4:AV26,datatypes!$A$2:$A$200),0,0),0)),"")</f>
        <v>CORREA M</v>
      </c>
      <c r="AW27" s="33">
        <f t="shared" si="16"/>
        <v>6000</v>
      </c>
      <c r="AX27" s="94">
        <f t="shared" si="9"/>
        <v>3.8622490262304643E-3</v>
      </c>
      <c r="AZ27" s="33">
        <f t="shared" si="17"/>
        <v>6000</v>
      </c>
      <c r="BA27" s="14" t="str" cm="1">
        <f t="array" ref="BA27">IFERROR(INDEX(datatypes!$A$2:$A$200,MATCH(0,INDEX(COUNTIF($BA$4:BA26,datatypes!$A$2:$A$200),0,0),0)),"")</f>
        <v>CORREA M</v>
      </c>
      <c r="BB27" s="33">
        <f t="shared" si="10"/>
        <v>820</v>
      </c>
      <c r="BC27" s="69">
        <f t="shared" si="18"/>
        <v>5180</v>
      </c>
    </row>
    <row r="28" spans="1:55" x14ac:dyDescent="0.3">
      <c r="G28" s="10" t="str" cm="1">
        <f t="array" ref="G28">IFERROR(INDEX(datatypes!$A$2:$A$200,MATCH(0,INDEX(COUNTIF($G$4:G27,datatypes!$A$2:$A$200),0,0),0)),"")</f>
        <v>ARNES S</v>
      </c>
      <c r="H28" s="12">
        <f>SUMIF(Income!B:B,analitics!G28,Income!F:F)</f>
        <v>12000</v>
      </c>
      <c r="I28" s="14">
        <f>SUMIF(Income!B:B,analitics!G28,Income!D:D)</f>
        <v>2</v>
      </c>
      <c r="J28" s="69">
        <f t="shared" si="4"/>
        <v>6000</v>
      </c>
      <c r="N28" s="10" t="str" cm="1">
        <f t="array" ref="N28">IFERROR(INDEX(datatypes!$A$2:$A$200,MATCH(0,INDEX(COUNTIF($N$4:N27,datatypes!$A$2:$A$200),0,0),0)),"")</f>
        <v>ARNES S</v>
      </c>
      <c r="O28" s="14">
        <f t="shared" si="5"/>
        <v>2</v>
      </c>
      <c r="P28" s="33">
        <f t="shared" si="12"/>
        <v>990</v>
      </c>
      <c r="Q28" s="69">
        <f t="shared" si="6"/>
        <v>1980</v>
      </c>
      <c r="V28" s="10" t="str" cm="1">
        <f t="array" ref="V28">IFERROR(INDEX(datatypes!$A$2:$A$200,MATCH(0,INDEX(COUNTIF($V$4:V27,datatypes!$A$2:$A$200),0,0),0)),"")</f>
        <v>ARNES S</v>
      </c>
      <c r="W28" s="89">
        <f t="shared" si="13"/>
        <v>0.83499999999999996</v>
      </c>
      <c r="X28" s="91">
        <f t="shared" si="14"/>
        <v>0.83499999999999996</v>
      </c>
      <c r="AC28" s="10" t="str" cm="1">
        <f t="array" ref="AC28">IFERROR(INDEX(datatypes!$A$2:$A$200,MATCH(0,INDEX(COUNTIF($AC$4:AC27,datatypes!$A$2:$A$200),0,0),0)),"")</f>
        <v>ARNES S</v>
      </c>
      <c r="AD28" s="12">
        <f>SUMIF(Stock!B:B,analitics!AC28,Stock!F:F)</f>
        <v>4950</v>
      </c>
      <c r="AE28" s="14">
        <f>SUMIF(Stock!B:B,analitics!AC28,Stock!D:D)</f>
        <v>5</v>
      </c>
      <c r="AF28" s="69">
        <f t="shared" si="15"/>
        <v>990</v>
      </c>
      <c r="AN28" s="10" t="str" cm="1">
        <f t="array" ref="AN28">IFERROR(INDEX(datatypes!$A$2:$A$200,MATCH(0,INDEX(COUNTIF($AC$4:AC27,datatypes!$A$2:$A$200),0,0),0)),"")</f>
        <v>ARNES S</v>
      </c>
      <c r="AO28" s="14">
        <f>SUMIF(Income!B:B,analitics!AN28,Income!D:D)</f>
        <v>2</v>
      </c>
      <c r="AP28" s="14">
        <f>SUMIF(Stock!B:B,analitics!AN28,Stock!D:D)</f>
        <v>5</v>
      </c>
      <c r="AQ28" s="34">
        <f t="shared" si="8"/>
        <v>3</v>
      </c>
      <c r="AV28" s="10" t="str" cm="1">
        <f t="array" ref="AV28">IFERROR(INDEX(datatypes!$A$2:$A$200,MATCH(0,INDEX(COUNTIF($AV$4:AV27,datatypes!$A$2:$A$200),0,0),0)),"")</f>
        <v>ARNES S</v>
      </c>
      <c r="AW28" s="33">
        <f t="shared" si="16"/>
        <v>12000</v>
      </c>
      <c r="AX28" s="94">
        <f t="shared" si="9"/>
        <v>7.7244980524609286E-3</v>
      </c>
      <c r="AZ28" s="33">
        <f t="shared" si="17"/>
        <v>12000</v>
      </c>
      <c r="BA28" s="14" t="str" cm="1">
        <f t="array" ref="BA28">IFERROR(INDEX(datatypes!$A$2:$A$200,MATCH(0,INDEX(COUNTIF($BA$4:BA27,datatypes!$A$2:$A$200),0,0),0)),"")</f>
        <v>ARNES S</v>
      </c>
      <c r="BB28" s="33">
        <f t="shared" si="10"/>
        <v>1980</v>
      </c>
      <c r="BC28" s="69">
        <f t="shared" si="18"/>
        <v>10020</v>
      </c>
    </row>
    <row r="29" spans="1:55" x14ac:dyDescent="0.3">
      <c r="A29">
        <v>1</v>
      </c>
      <c r="B29" t="s">
        <v>92</v>
      </c>
      <c r="C29" s="7">
        <f>SUMIF(Income!G:G,analitics!A29,Income!F:F)</f>
        <v>937100</v>
      </c>
      <c r="G29" s="10" t="str" cm="1">
        <f t="array" ref="G29">IFERROR(INDEX(datatypes!$A$2:$A$200,MATCH(0,INDEX(COUNTIF($G$4:G28,datatypes!$A$2:$A$200),0,0),0)),"")</f>
        <v>CORREA S</v>
      </c>
      <c r="H29" s="12">
        <f>SUMIF(Income!B:B,analitics!G29,Income!F:F)</f>
        <v>12000</v>
      </c>
      <c r="I29" s="14">
        <f>SUMIF(Income!B:B,analitics!G29,Income!D:D)</f>
        <v>2</v>
      </c>
      <c r="J29" s="69">
        <f t="shared" si="4"/>
        <v>6000</v>
      </c>
      <c r="N29" s="10" t="str" cm="1">
        <f t="array" ref="N29">IFERROR(INDEX(datatypes!$A$2:$A$200,MATCH(0,INDEX(COUNTIF($N$4:N28,datatypes!$A$2:$A$200),0,0),0)),"")</f>
        <v>CORREA S</v>
      </c>
      <c r="O29" s="14">
        <f t="shared" si="5"/>
        <v>2</v>
      </c>
      <c r="P29" s="33">
        <f t="shared" si="12"/>
        <v>970</v>
      </c>
      <c r="Q29" s="69">
        <f t="shared" si="6"/>
        <v>1940</v>
      </c>
      <c r="V29" s="10" t="str" cm="1">
        <f t="array" ref="V29">IFERROR(INDEX(datatypes!$A$2:$A$200,MATCH(0,INDEX(COUNTIF($V$4:V28,datatypes!$A$2:$A$200),0,0),0)),"")</f>
        <v>CORREA S</v>
      </c>
      <c r="W29" s="89">
        <f t="shared" si="13"/>
        <v>0.83833333333333337</v>
      </c>
      <c r="X29" s="91">
        <f t="shared" si="14"/>
        <v>0.83833333333333337</v>
      </c>
      <c r="AC29" s="10" t="str" cm="1">
        <f t="array" ref="AC29">IFERROR(INDEX(datatypes!$A$2:$A$200,MATCH(0,INDEX(COUNTIF($AC$4:AC28,datatypes!$A$2:$A$200),0,0),0)),"")</f>
        <v>CORREA S</v>
      </c>
      <c r="AD29" s="12">
        <f>SUMIF(Stock!B:B,analitics!AC29,Stock!F:F)</f>
        <v>4850</v>
      </c>
      <c r="AE29" s="14">
        <f>SUMIF(Stock!B:B,analitics!AC29,Stock!D:D)</f>
        <v>5</v>
      </c>
      <c r="AF29" s="69">
        <f t="shared" si="15"/>
        <v>970</v>
      </c>
      <c r="AN29" s="10" t="str" cm="1">
        <f t="array" ref="AN29">IFERROR(INDEX(datatypes!$A$2:$A$200,MATCH(0,INDEX(COUNTIF($AC$4:AC28,datatypes!$A$2:$A$200),0,0),0)),"")</f>
        <v>CORREA S</v>
      </c>
      <c r="AO29" s="14">
        <f>SUMIF(Income!B:B,analitics!AN29,Income!D:D)</f>
        <v>2</v>
      </c>
      <c r="AP29" s="14">
        <f>SUMIF(Stock!B:B,analitics!AN29,Stock!D:D)</f>
        <v>5</v>
      </c>
      <c r="AQ29" s="34">
        <f t="shared" si="8"/>
        <v>3</v>
      </c>
      <c r="AV29" s="10" t="str" cm="1">
        <f t="array" ref="AV29">IFERROR(INDEX(datatypes!$A$2:$A$200,MATCH(0,INDEX(COUNTIF($AV$4:AV28,datatypes!$A$2:$A$200),0,0),0)),"")</f>
        <v>CORREA S</v>
      </c>
      <c r="AW29" s="33">
        <f t="shared" si="16"/>
        <v>12000</v>
      </c>
      <c r="AX29" s="94">
        <f t="shared" si="9"/>
        <v>7.7244980524609286E-3</v>
      </c>
      <c r="AZ29" s="33">
        <f t="shared" si="17"/>
        <v>12000</v>
      </c>
      <c r="BA29" s="14" t="str" cm="1">
        <f t="array" ref="BA29">IFERROR(INDEX(datatypes!$A$2:$A$200,MATCH(0,INDEX(COUNTIF($BA$4:BA28,datatypes!$A$2:$A$200),0,0),0)),"")</f>
        <v>CORREA S</v>
      </c>
      <c r="BB29" s="33">
        <f t="shared" si="10"/>
        <v>1940</v>
      </c>
      <c r="BC29" s="69">
        <f t="shared" si="18"/>
        <v>10060</v>
      </c>
    </row>
    <row r="30" spans="1:55" x14ac:dyDescent="0.3">
      <c r="A30">
        <v>2</v>
      </c>
      <c r="B30" t="s">
        <v>104</v>
      </c>
      <c r="C30" s="7">
        <f>SUMIF(Income!G:G,analitics!A30,Income!F:F)</f>
        <v>616399</v>
      </c>
      <c r="G30" s="10" t="str" cm="1">
        <f t="array" ref="G30">IFERROR(INDEX(datatypes!$A$2:$A$200,MATCH(0,INDEX(COUNTIF($G$4:G29,datatypes!$A$2:$A$200),0,0),0)),"")</f>
        <v>EMPAQUE CACA</v>
      </c>
      <c r="H30" s="12">
        <f>SUMIF(Income!B:B,analitics!G30,Income!F:F)</f>
        <v>0</v>
      </c>
      <c r="I30" s="14">
        <f>SUMIF(Income!B:B,analitics!G30,Income!D:D)</f>
        <v>0</v>
      </c>
      <c r="J30" s="69">
        <f t="shared" si="4"/>
        <v>0</v>
      </c>
      <c r="N30" s="10" t="str" cm="1">
        <f t="array" ref="N30">IFERROR(INDEX(datatypes!$A$2:$A$200,MATCH(0,INDEX(COUNTIF($N$4:N29,datatypes!$A$2:$A$200),0,0),0)),"")</f>
        <v>EMPAQUE CACA</v>
      </c>
      <c r="O30" s="14">
        <f t="shared" si="5"/>
        <v>0</v>
      </c>
      <c r="P30" s="33">
        <f t="shared" si="12"/>
        <v>1010</v>
      </c>
      <c r="Q30" s="69">
        <f t="shared" si="6"/>
        <v>0</v>
      </c>
      <c r="V30" s="10" t="str" cm="1">
        <f t="array" ref="V30">IFERROR(INDEX(datatypes!$A$2:$A$200,MATCH(0,INDEX(COUNTIF($V$4:V29,datatypes!$A$2:$A$200),0,0),0)),"")</f>
        <v>EMPAQUE CACA</v>
      </c>
      <c r="W30" s="89">
        <f t="shared" si="13"/>
        <v>0</v>
      </c>
      <c r="X30" s="91">
        <f t="shared" si="14"/>
        <v>0</v>
      </c>
      <c r="AC30" s="10" t="str" cm="1">
        <f t="array" ref="AC30">IFERROR(INDEX(datatypes!$A$2:$A$200,MATCH(0,INDEX(COUNTIF($AC$4:AC29,datatypes!$A$2:$A$200),0,0),0)),"")</f>
        <v>EMPAQUE CACA</v>
      </c>
      <c r="AD30" s="12">
        <f>SUMIF(Stock!B:B,analitics!AC30,Stock!F:F)</f>
        <v>5050</v>
      </c>
      <c r="AE30" s="14">
        <f>SUMIF(Stock!B:B,analitics!AC30,Stock!D:D)</f>
        <v>5</v>
      </c>
      <c r="AF30" s="69">
        <f t="shared" si="15"/>
        <v>1010</v>
      </c>
      <c r="AN30" s="10" t="str" cm="1">
        <f t="array" ref="AN30">IFERROR(INDEX(datatypes!$A$2:$A$200,MATCH(0,INDEX(COUNTIF($AC$4:AC29,datatypes!$A$2:$A$200),0,0),0)),"")</f>
        <v>EMPAQUE CACA</v>
      </c>
      <c r="AO30" s="14">
        <f>SUMIF(Income!B:B,analitics!AN30,Income!D:D)</f>
        <v>0</v>
      </c>
      <c r="AP30" s="14">
        <f>SUMIF(Stock!B:B,analitics!AN30,Stock!D:D)</f>
        <v>5</v>
      </c>
      <c r="AQ30" s="34">
        <f t="shared" si="8"/>
        <v>5</v>
      </c>
      <c r="AV30" s="10" t="str" cm="1">
        <f t="array" ref="AV30">IFERROR(INDEX(datatypes!$A$2:$A$200,MATCH(0,INDEX(COUNTIF($AV$4:AV29,datatypes!$A$2:$A$200),0,0),0)),"")</f>
        <v>EMPAQUE CACA</v>
      </c>
      <c r="AW30" s="33">
        <f t="shared" si="16"/>
        <v>0</v>
      </c>
      <c r="AX30" s="94">
        <f t="shared" si="9"/>
        <v>0</v>
      </c>
      <c r="AZ30" s="33">
        <f t="shared" si="17"/>
        <v>0</v>
      </c>
      <c r="BA30" s="14" t="str" cm="1">
        <f t="array" ref="BA30">IFERROR(INDEX(datatypes!$A$2:$A$200,MATCH(0,INDEX(COUNTIF($BA$4:BA29,datatypes!$A$2:$A$200),0,0),0)),"")</f>
        <v>EMPAQUE CACA</v>
      </c>
      <c r="BB30" s="33">
        <f t="shared" si="10"/>
        <v>0</v>
      </c>
      <c r="BC30" s="69">
        <f t="shared" si="18"/>
        <v>0</v>
      </c>
    </row>
    <row r="31" spans="1:55" x14ac:dyDescent="0.3">
      <c r="A31">
        <v>3</v>
      </c>
      <c r="B31" t="s">
        <v>94</v>
      </c>
      <c r="C31" s="7">
        <f>SUMIF(Income!G:G,analitics!A31,Income!F:F)</f>
        <v>0</v>
      </c>
      <c r="G31" s="10" t="str" cm="1">
        <f t="array" ref="G31">IFERROR(INDEX(datatypes!$A$2:$A$200,MATCH(0,INDEX(COUNTIF($G$4:G30,datatypes!$A$2:$A$200),0,0),0)),"")</f>
        <v>Collar entrenamiento</v>
      </c>
      <c r="H31" s="12">
        <f>SUMIF(Income!B:B,analitics!G31,Income!F:F)</f>
        <v>26700</v>
      </c>
      <c r="I31" s="14">
        <f>SUMIF(Income!B:B,analitics!G31,Income!D:D)</f>
        <v>3</v>
      </c>
      <c r="J31" s="69">
        <f t="shared" si="4"/>
        <v>8900</v>
      </c>
      <c r="N31" s="10" t="str" cm="1">
        <f t="array" ref="N31">IFERROR(INDEX(datatypes!$A$2:$A$200,MATCH(0,INDEX(COUNTIF($N$4:N30,datatypes!$A$2:$A$200),0,0),0)),"")</f>
        <v>Collar entrenamiento</v>
      </c>
      <c r="O31" s="14">
        <f t="shared" si="5"/>
        <v>3</v>
      </c>
      <c r="P31" s="33">
        <f t="shared" si="12"/>
        <v>860</v>
      </c>
      <c r="Q31" s="69">
        <f t="shared" si="6"/>
        <v>2580</v>
      </c>
      <c r="V31" s="10" t="str" cm="1">
        <f t="array" ref="V31">IFERROR(INDEX(datatypes!$A$2:$A$200,MATCH(0,INDEX(COUNTIF($V$4:V30,datatypes!$A$2:$A$200),0,0),0)),"")</f>
        <v>Collar entrenamiento</v>
      </c>
      <c r="W31" s="89">
        <f t="shared" si="13"/>
        <v>0.90337078651685399</v>
      </c>
      <c r="X31" s="91">
        <f t="shared" si="14"/>
        <v>0.90337078651685399</v>
      </c>
      <c r="AC31" s="10" t="str" cm="1">
        <f t="array" ref="AC31">IFERROR(INDEX(datatypes!$A$2:$A$200,MATCH(0,INDEX(COUNTIF($AC$4:AC30,datatypes!$A$2:$A$200),0,0),0)),"")</f>
        <v>Collar entrenamiento</v>
      </c>
      <c r="AD31" s="12">
        <f>SUMIF(Stock!B:B,analitics!AC31,Stock!F:F)</f>
        <v>4300</v>
      </c>
      <c r="AE31" s="14">
        <f>SUMIF(Stock!B:B,analitics!AC31,Stock!D:D)</f>
        <v>5</v>
      </c>
      <c r="AF31" s="69">
        <f t="shared" si="15"/>
        <v>860</v>
      </c>
      <c r="AN31" s="10" t="str" cm="1">
        <f t="array" ref="AN31">IFERROR(INDEX(datatypes!$A$2:$A$200,MATCH(0,INDEX(COUNTIF($AC$4:AC30,datatypes!$A$2:$A$200),0,0),0)),"")</f>
        <v>Collar entrenamiento</v>
      </c>
      <c r="AO31" s="14">
        <f>SUMIF(Income!B:B,analitics!AN31,Income!D:D)</f>
        <v>3</v>
      </c>
      <c r="AP31" s="14">
        <f>SUMIF(Stock!B:B,analitics!AN31,Stock!D:D)</f>
        <v>5</v>
      </c>
      <c r="AQ31" s="34">
        <f t="shared" si="8"/>
        <v>2</v>
      </c>
      <c r="AV31" s="10" t="str" cm="1">
        <f t="array" ref="AV31">IFERROR(INDEX(datatypes!$A$2:$A$200,MATCH(0,INDEX(COUNTIF($AV$4:AV30,datatypes!$A$2:$A$200),0,0),0)),"")</f>
        <v>Collar entrenamiento</v>
      </c>
      <c r="AW31" s="33">
        <f t="shared" si="16"/>
        <v>26700</v>
      </c>
      <c r="AX31" s="94">
        <f t="shared" si="9"/>
        <v>1.7187008166725568E-2</v>
      </c>
      <c r="AZ31" s="33">
        <f t="shared" si="17"/>
        <v>26700</v>
      </c>
      <c r="BA31" s="14" t="str" cm="1">
        <f t="array" ref="BA31">IFERROR(INDEX(datatypes!$A$2:$A$200,MATCH(0,INDEX(COUNTIF($BA$4:BA30,datatypes!$A$2:$A$200),0,0),0)),"")</f>
        <v>Collar entrenamiento</v>
      </c>
      <c r="BB31" s="33">
        <f t="shared" si="10"/>
        <v>2580</v>
      </c>
      <c r="BC31" s="69">
        <f t="shared" si="18"/>
        <v>24120</v>
      </c>
    </row>
    <row r="32" spans="1:55" x14ac:dyDescent="0.3">
      <c r="A32">
        <v>4</v>
      </c>
      <c r="B32" t="s">
        <v>95</v>
      </c>
      <c r="C32" s="7">
        <f>SUMIF(Income!G:G,analitics!A32,Income!F:F)</f>
        <v>0</v>
      </c>
      <c r="G32" s="10" t="str" cm="1">
        <f t="array" ref="G32">IFERROR(INDEX(datatypes!$A$2:$A$200,MATCH(0,INDEX(COUNTIF($G$4:G31,datatypes!$A$2:$A$200),0,0),0)),"")</f>
        <v>correa entrenamiento</v>
      </c>
      <c r="H32" s="12">
        <f>SUMIF(Income!B:B,analitics!G32,Income!F:F)</f>
        <v>14000</v>
      </c>
      <c r="I32" s="14">
        <f>SUMIF(Income!B:B,analitics!G32,Income!D:D)</f>
        <v>2</v>
      </c>
      <c r="J32" s="69">
        <f t="shared" si="4"/>
        <v>7000</v>
      </c>
      <c r="N32" s="10" t="str" cm="1">
        <f t="array" ref="N32">IFERROR(INDEX(datatypes!$A$2:$A$200,MATCH(0,INDEX(COUNTIF($N$4:N31,datatypes!$A$2:$A$200),0,0),0)),"")</f>
        <v>correa entrenamiento</v>
      </c>
      <c r="O32" s="14">
        <f t="shared" si="5"/>
        <v>2</v>
      </c>
      <c r="P32" s="33">
        <f t="shared" si="12"/>
        <v>1000</v>
      </c>
      <c r="Q32" s="69">
        <f t="shared" si="6"/>
        <v>2000</v>
      </c>
      <c r="V32" s="10" t="str" cm="1">
        <f t="array" ref="V32">IFERROR(INDEX(datatypes!$A$2:$A$200,MATCH(0,INDEX(COUNTIF($V$4:V31,datatypes!$A$2:$A$200),0,0),0)),"")</f>
        <v>correa entrenamiento</v>
      </c>
      <c r="W32" s="89">
        <f t="shared" si="13"/>
        <v>0.8571428571428571</v>
      </c>
      <c r="X32" s="91">
        <f t="shared" si="14"/>
        <v>0.8571428571428571</v>
      </c>
      <c r="AC32" s="10" t="str" cm="1">
        <f t="array" ref="AC32">IFERROR(INDEX(datatypes!$A$2:$A$200,MATCH(0,INDEX(COUNTIF($AC$4:AC31,datatypes!$A$2:$A$200),0,0),0)),"")</f>
        <v>correa entrenamiento</v>
      </c>
      <c r="AD32" s="12">
        <f>SUMIF(Stock!B:B,analitics!AC32,Stock!F:F)</f>
        <v>4000</v>
      </c>
      <c r="AE32" s="14">
        <f>SUMIF(Stock!B:B,analitics!AC32,Stock!D:D)</f>
        <v>4</v>
      </c>
      <c r="AF32" s="69">
        <f t="shared" si="15"/>
        <v>1000</v>
      </c>
      <c r="AN32" s="10" t="str" cm="1">
        <f t="array" ref="AN32">IFERROR(INDEX(datatypes!$A$2:$A$200,MATCH(0,INDEX(COUNTIF($AC$4:AC31,datatypes!$A$2:$A$200),0,0),0)),"")</f>
        <v>correa entrenamiento</v>
      </c>
      <c r="AO32" s="14">
        <f>SUMIF(Income!B:B,analitics!AN32,Income!D:D)</f>
        <v>2</v>
      </c>
      <c r="AP32" s="14">
        <f>SUMIF(Stock!B:B,analitics!AN32,Stock!D:D)</f>
        <v>4</v>
      </c>
      <c r="AQ32" s="34">
        <f t="shared" si="8"/>
        <v>2</v>
      </c>
      <c r="AV32" s="10" t="str" cm="1">
        <f t="array" ref="AV32">IFERROR(INDEX(datatypes!$A$2:$A$200,MATCH(0,INDEX(COUNTIF($AV$4:AV31,datatypes!$A$2:$A$200),0,0),0)),"")</f>
        <v>correa entrenamiento</v>
      </c>
      <c r="AW32" s="33">
        <f t="shared" si="16"/>
        <v>14000</v>
      </c>
      <c r="AX32" s="94">
        <f t="shared" si="9"/>
        <v>9.0119143945377508E-3</v>
      </c>
      <c r="AZ32" s="33">
        <f t="shared" si="17"/>
        <v>14000</v>
      </c>
      <c r="BA32" s="14" t="str" cm="1">
        <f t="array" ref="BA32">IFERROR(INDEX(datatypes!$A$2:$A$200,MATCH(0,INDEX(COUNTIF($BA$4:BA31,datatypes!$A$2:$A$200),0,0),0)),"")</f>
        <v>correa entrenamiento</v>
      </c>
      <c r="BB32" s="33">
        <f t="shared" si="10"/>
        <v>2000</v>
      </c>
      <c r="BC32" s="69">
        <f t="shared" si="18"/>
        <v>12000</v>
      </c>
    </row>
    <row r="33" spans="1:55" x14ac:dyDescent="0.3">
      <c r="A33">
        <v>5</v>
      </c>
      <c r="B33" t="s">
        <v>96</v>
      </c>
      <c r="C33" s="7">
        <f>SUMIF(Income!G:G,analitics!A33,Income!F:F)</f>
        <v>0</v>
      </c>
      <c r="G33" s="10" cm="1">
        <f t="array" ref="G33">IFERROR(INDEX(datatypes!$A$2:$A$200,MATCH(0,INDEX(COUNTIF($G$4:G32,datatypes!$A$2:$A$200),0,0),0)),"")</f>
        <v>0</v>
      </c>
      <c r="H33" s="12">
        <f>SUMIF(Income!B:B,analitics!G33,Income!F:F)</f>
        <v>0</v>
      </c>
      <c r="I33" s="14">
        <f>SUMIF(Income!B:B,analitics!G33,Income!D:D)</f>
        <v>0</v>
      </c>
      <c r="J33" s="69">
        <f t="shared" si="4"/>
        <v>0</v>
      </c>
      <c r="N33" s="10" cm="1">
        <f t="array" ref="N33">IFERROR(INDEX(datatypes!$A$2:$A$200,MATCH(0,INDEX(COUNTIF($N$4:N32,datatypes!$A$2:$A$200),0,0),0)),"")</f>
        <v>0</v>
      </c>
      <c r="O33" s="14">
        <f t="shared" si="5"/>
        <v>0</v>
      </c>
      <c r="P33" s="33">
        <f t="shared" si="12"/>
        <v>0</v>
      </c>
      <c r="Q33" s="69">
        <f t="shared" si="6"/>
        <v>0</v>
      </c>
      <c r="V33" s="10" cm="1">
        <f t="array" ref="V33">IFERROR(INDEX(datatypes!$A$2:$A$200,MATCH(0,INDEX(COUNTIF($V$4:V32,datatypes!$A$2:$A$200),0,0),0)),"")</f>
        <v>0</v>
      </c>
      <c r="W33" s="89">
        <f t="shared" si="13"/>
        <v>0</v>
      </c>
      <c r="X33" s="91">
        <f t="shared" si="14"/>
        <v>0</v>
      </c>
      <c r="AC33" s="10" cm="1">
        <f t="array" ref="AC33">IFERROR(INDEX(datatypes!$A$2:$A$200,MATCH(0,INDEX(COUNTIF($AC$4:AC32,datatypes!$A$2:$A$200),0,0),0)),"")</f>
        <v>0</v>
      </c>
      <c r="AD33" s="12">
        <f>SUMIF(Stock!B:B,analitics!AC33,Stock!F:F)</f>
        <v>0</v>
      </c>
      <c r="AE33" s="14">
        <f>SUMIF(Stock!B:B,analitics!AC33,Stock!D:D)</f>
        <v>0</v>
      </c>
      <c r="AF33" s="69">
        <f t="shared" si="15"/>
        <v>0</v>
      </c>
      <c r="AN33" s="10" cm="1">
        <f t="array" ref="AN33">IFERROR(INDEX(datatypes!$A$2:$A$200,MATCH(0,INDEX(COUNTIF($AC$4:AC32,datatypes!$A$2:$A$200),0,0),0)),"")</f>
        <v>0</v>
      </c>
      <c r="AO33" s="14">
        <f>SUMIF(Income!B:B,analitics!AN33,Income!D:D)</f>
        <v>0</v>
      </c>
      <c r="AP33" s="14">
        <f>SUMIF(Stock!B:B,analitics!AN33,Stock!D:D)</f>
        <v>0</v>
      </c>
      <c r="AQ33" s="34">
        <f t="shared" si="8"/>
        <v>0</v>
      </c>
      <c r="AV33" s="10" cm="1">
        <f t="array" ref="AV33">IFERROR(INDEX(datatypes!$A$2:$A$200,MATCH(0,INDEX(COUNTIF($AV$4:AV32,datatypes!$A$2:$A$200),0,0),0)),"")</f>
        <v>0</v>
      </c>
      <c r="AW33" s="33">
        <f t="shared" si="16"/>
        <v>0</v>
      </c>
      <c r="AX33" s="94">
        <f t="shared" si="9"/>
        <v>0</v>
      </c>
      <c r="AZ33" s="33">
        <f t="shared" si="17"/>
        <v>0</v>
      </c>
      <c r="BA33" s="14" cm="1">
        <f t="array" ref="BA33">IFERROR(INDEX(datatypes!$A$2:$A$200,MATCH(0,INDEX(COUNTIF($BA$4:BA32,datatypes!$A$2:$A$200),0,0),0)),"")</f>
        <v>0</v>
      </c>
      <c r="BB33" s="33">
        <f t="shared" si="10"/>
        <v>0</v>
      </c>
      <c r="BC33" s="69">
        <f t="shared" si="18"/>
        <v>0</v>
      </c>
    </row>
    <row r="34" spans="1:55" x14ac:dyDescent="0.3">
      <c r="A34">
        <v>6</v>
      </c>
      <c r="B34" t="s">
        <v>97</v>
      </c>
      <c r="C34" s="7">
        <f>SUMIF(Income!G:G,analitics!A34,Income!F:F)</f>
        <v>0</v>
      </c>
      <c r="G34" s="10" t="str" cm="1">
        <f t="array" ref="G34">IFERROR(INDEX(datatypes!$A$2:$A$200,MATCH(0,INDEX(COUNTIF($G$4:G33,datatypes!$A$2:$A$200),0,0),0)),"")</f>
        <v/>
      </c>
      <c r="H34" s="12">
        <f>SUMIF(Income!B:B,analitics!G34,Income!F:F)</f>
        <v>0</v>
      </c>
      <c r="I34" s="14">
        <f>SUMIF(Income!B:B,analitics!G34,Income!D:D)</f>
        <v>0</v>
      </c>
      <c r="J34" s="69">
        <f t="shared" si="4"/>
        <v>0</v>
      </c>
      <c r="N34" s="10" t="str" cm="1">
        <f t="array" ref="N34">IFERROR(INDEX(datatypes!$A$2:$A$200,MATCH(0,INDEX(COUNTIF($N$4:N33,datatypes!$A$2:$A$200),0,0),0)),"")</f>
        <v/>
      </c>
      <c r="O34" s="14">
        <f t="shared" si="5"/>
        <v>0</v>
      </c>
      <c r="P34" s="33">
        <f t="shared" si="12"/>
        <v>0</v>
      </c>
      <c r="Q34" s="69">
        <f t="shared" si="6"/>
        <v>0</v>
      </c>
      <c r="V34" s="10" t="str" cm="1">
        <f t="array" ref="V34">IFERROR(INDEX(datatypes!$A$2:$A$200,MATCH(0,INDEX(COUNTIF($V$4:V33,datatypes!$A$2:$A$200),0,0),0)),"")</f>
        <v/>
      </c>
      <c r="W34" s="89">
        <f t="shared" si="13"/>
        <v>0</v>
      </c>
      <c r="X34" s="91">
        <f t="shared" si="14"/>
        <v>0</v>
      </c>
      <c r="AC34" s="10" t="str" cm="1">
        <f t="array" ref="AC34">IFERROR(INDEX(datatypes!$A$2:$A$200,MATCH(0,INDEX(COUNTIF($AC$4:AC33,datatypes!$A$2:$A$200),0,0),0)),"")</f>
        <v/>
      </c>
      <c r="AD34" s="12">
        <f>SUMIF(Stock!B:B,analitics!AC34,Stock!F:F)</f>
        <v>0</v>
      </c>
      <c r="AE34" s="14">
        <f>SUMIF(Stock!B:B,analitics!AC34,Stock!D:D)</f>
        <v>0</v>
      </c>
      <c r="AF34" s="69">
        <f t="shared" si="15"/>
        <v>0</v>
      </c>
      <c r="AN34" s="10" t="str" cm="1">
        <f t="array" ref="AN34">IFERROR(INDEX(datatypes!$A$2:$A$200,MATCH(0,INDEX(COUNTIF($AC$4:AC33,datatypes!$A$2:$A$200),0,0),0)),"")</f>
        <v/>
      </c>
      <c r="AO34" s="14">
        <f>SUMIF(Income!B:B,analitics!AN34,Income!D:D)</f>
        <v>0</v>
      </c>
      <c r="AP34" s="14">
        <f>SUMIF(Stock!B:B,analitics!AN34,Stock!D:D)</f>
        <v>0</v>
      </c>
      <c r="AQ34" s="34">
        <f t="shared" si="8"/>
        <v>0</v>
      </c>
      <c r="AV34" s="10" t="str" cm="1">
        <f t="array" ref="AV34">IFERROR(INDEX(datatypes!$A$2:$A$200,MATCH(0,INDEX(COUNTIF($AV$4:AV33,datatypes!$A$2:$A$200),0,0),0)),"")</f>
        <v/>
      </c>
      <c r="AW34" s="33">
        <f t="shared" si="16"/>
        <v>0</v>
      </c>
      <c r="AX34" s="94">
        <f t="shared" si="9"/>
        <v>0</v>
      </c>
      <c r="AZ34" s="33">
        <f t="shared" si="17"/>
        <v>0</v>
      </c>
      <c r="BA34" s="14" t="str" cm="1">
        <f t="array" ref="BA34">IFERROR(INDEX(datatypes!$A$2:$A$200,MATCH(0,INDEX(COUNTIF($BA$4:BA33,datatypes!$A$2:$A$200),0,0),0)),"")</f>
        <v/>
      </c>
      <c r="BB34" s="33">
        <f t="shared" si="10"/>
        <v>0</v>
      </c>
      <c r="BC34" s="69">
        <f t="shared" si="18"/>
        <v>0</v>
      </c>
    </row>
    <row r="35" spans="1:55" x14ac:dyDescent="0.3">
      <c r="A35">
        <v>7</v>
      </c>
      <c r="B35" t="s">
        <v>98</v>
      </c>
      <c r="C35" s="7">
        <f>SUMIF(Income!G:G,analitics!A35,Income!F:F)</f>
        <v>0</v>
      </c>
      <c r="G35" s="10" t="str" cm="1">
        <f t="array" ref="G35">IFERROR(INDEX(datatypes!$A$2:$A$200,MATCH(0,INDEX(COUNTIF($G$4:G34,datatypes!$A$2:$A$200),0,0),0)),"")</f>
        <v/>
      </c>
      <c r="H35" s="12">
        <f>SUMIF(Income!B:B,analitics!G35,Income!F:F)</f>
        <v>0</v>
      </c>
      <c r="I35" s="14">
        <f>SUMIF(Income!B:B,analitics!G35,Income!D:D)</f>
        <v>0</v>
      </c>
      <c r="J35" s="69">
        <f t="shared" si="4"/>
        <v>0</v>
      </c>
      <c r="N35" s="10" t="str" cm="1">
        <f t="array" ref="N35">IFERROR(INDEX(datatypes!$A$2:$A$200,MATCH(0,INDEX(COUNTIF($N$4:N34,datatypes!$A$2:$A$200),0,0),0)),"")</f>
        <v/>
      </c>
      <c r="O35" s="14">
        <f t="shared" si="5"/>
        <v>0</v>
      </c>
      <c r="P35" s="33">
        <f t="shared" si="12"/>
        <v>0</v>
      </c>
      <c r="Q35" s="69">
        <f t="shared" si="6"/>
        <v>0</v>
      </c>
      <c r="V35" s="10" t="str" cm="1">
        <f t="array" ref="V35">IFERROR(INDEX(datatypes!$A$2:$A$200,MATCH(0,INDEX(COUNTIF($V$4:V34,datatypes!$A$2:$A$200),0,0),0)),"")</f>
        <v/>
      </c>
      <c r="W35" s="89">
        <f t="shared" si="13"/>
        <v>0</v>
      </c>
      <c r="X35" s="91">
        <f t="shared" si="14"/>
        <v>0</v>
      </c>
      <c r="AC35" s="10" t="str" cm="1">
        <f t="array" ref="AC35">IFERROR(INDEX(datatypes!$A$2:$A$200,MATCH(0,INDEX(COUNTIF($AC$4:AC34,datatypes!$A$2:$A$200),0,0),0)),"")</f>
        <v/>
      </c>
      <c r="AD35" s="12">
        <f>SUMIF(Stock!B:B,analitics!AC35,Stock!F:F)</f>
        <v>0</v>
      </c>
      <c r="AE35" s="14">
        <f>SUMIF(Stock!B:B,analitics!AC35,Stock!D:D)</f>
        <v>0</v>
      </c>
      <c r="AF35" s="69">
        <f t="shared" si="15"/>
        <v>0</v>
      </c>
      <c r="AN35" s="10" t="str" cm="1">
        <f t="array" ref="AN35">IFERROR(INDEX(datatypes!$A$2:$A$200,MATCH(0,INDEX(COUNTIF($AC$4:AC34,datatypes!$A$2:$A$200),0,0),0)),"")</f>
        <v/>
      </c>
      <c r="AO35" s="14">
        <f>SUMIF(Income!B:B,analitics!AN35,Income!D:D)</f>
        <v>0</v>
      </c>
      <c r="AP35" s="14">
        <f>SUMIF(Stock!B:B,analitics!AN35,Stock!D:D)</f>
        <v>0</v>
      </c>
      <c r="AQ35" s="34">
        <f t="shared" si="8"/>
        <v>0</v>
      </c>
      <c r="AV35" s="10" t="str" cm="1">
        <f t="array" ref="AV35">IFERROR(INDEX(datatypes!$A$2:$A$200,MATCH(0,INDEX(COUNTIF($AV$4:AV34,datatypes!$A$2:$A$200),0,0),0)),"")</f>
        <v/>
      </c>
      <c r="AW35" s="33">
        <f t="shared" si="16"/>
        <v>0</v>
      </c>
      <c r="AX35" s="94">
        <f t="shared" si="9"/>
        <v>0</v>
      </c>
      <c r="AZ35" s="33">
        <f t="shared" si="17"/>
        <v>0</v>
      </c>
      <c r="BA35" s="14" t="str" cm="1">
        <f t="array" ref="BA35">IFERROR(INDEX(datatypes!$A$2:$A$200,MATCH(0,INDEX(COUNTIF($BA$4:BA34,datatypes!$A$2:$A$200),0,0),0)),"")</f>
        <v/>
      </c>
      <c r="BB35" s="33">
        <f t="shared" si="10"/>
        <v>0</v>
      </c>
      <c r="BC35" s="69">
        <f t="shared" si="18"/>
        <v>0</v>
      </c>
    </row>
    <row r="36" spans="1:55" x14ac:dyDescent="0.3">
      <c r="A36">
        <v>8</v>
      </c>
      <c r="B36" t="s">
        <v>99</v>
      </c>
      <c r="C36" s="7">
        <f>SUMIF(Income!G:G,analitics!A36,Income!F:F)</f>
        <v>0</v>
      </c>
      <c r="G36" s="10" t="str" cm="1">
        <f t="array" ref="G36">IFERROR(INDEX(datatypes!$A$2:$A$200,MATCH(0,INDEX(COUNTIF($G$4:G35,datatypes!$A$2:$A$200),0,0),0)),"")</f>
        <v/>
      </c>
      <c r="H36" s="12">
        <f>SUMIF(Income!B:B,analitics!G36,Income!F:F)</f>
        <v>0</v>
      </c>
      <c r="I36" s="14">
        <f>SUMIF(Income!B:B,analitics!G36,Income!D:D)</f>
        <v>0</v>
      </c>
      <c r="J36" s="69">
        <f t="shared" si="4"/>
        <v>0</v>
      </c>
      <c r="N36" s="10" t="str" cm="1">
        <f t="array" ref="N36">IFERROR(INDEX(datatypes!$A$2:$A$200,MATCH(0,INDEX(COUNTIF($N$4:N35,datatypes!$A$2:$A$200),0,0),0)),"")</f>
        <v/>
      </c>
      <c r="O36" s="14">
        <f t="shared" si="5"/>
        <v>0</v>
      </c>
      <c r="P36" s="33">
        <f t="shared" si="12"/>
        <v>0</v>
      </c>
      <c r="Q36" s="69">
        <f t="shared" si="6"/>
        <v>0</v>
      </c>
      <c r="V36" s="10" t="str" cm="1">
        <f t="array" ref="V36">IFERROR(INDEX(datatypes!$A$2:$A$200,MATCH(0,INDEX(COUNTIF($V$4:V35,datatypes!$A$2:$A$200),0,0),0)),"")</f>
        <v/>
      </c>
      <c r="W36" s="89">
        <f t="shared" si="13"/>
        <v>0</v>
      </c>
      <c r="X36" s="91">
        <f t="shared" si="14"/>
        <v>0</v>
      </c>
      <c r="AC36" s="10" t="str" cm="1">
        <f t="array" ref="AC36">IFERROR(INDEX(datatypes!$A$2:$A$200,MATCH(0,INDEX(COUNTIF($AC$4:AC35,datatypes!$A$2:$A$200),0,0),0)),"")</f>
        <v/>
      </c>
      <c r="AD36" s="12">
        <f>SUMIF(Stock!B:B,analitics!AC36,Stock!F:F)</f>
        <v>0</v>
      </c>
      <c r="AE36" s="14">
        <f>SUMIF(Stock!B:B,analitics!AC36,Stock!D:D)</f>
        <v>0</v>
      </c>
      <c r="AF36" s="69">
        <f t="shared" si="15"/>
        <v>0</v>
      </c>
      <c r="AN36" s="10" t="str" cm="1">
        <f t="array" ref="AN36">IFERROR(INDEX(datatypes!$A$2:$A$200,MATCH(0,INDEX(COUNTIF($AC$4:AC35,datatypes!$A$2:$A$200),0,0),0)),"")</f>
        <v/>
      </c>
      <c r="AO36" s="14">
        <f>SUMIF(Income!B:B,analitics!AN36,Income!D:D)</f>
        <v>0</v>
      </c>
      <c r="AP36" s="14">
        <f>SUMIF(Stock!B:B,analitics!AN36,Stock!D:D)</f>
        <v>0</v>
      </c>
      <c r="AQ36" s="34">
        <f t="shared" si="8"/>
        <v>0</v>
      </c>
      <c r="AV36" s="10" t="str" cm="1">
        <f t="array" ref="AV36">IFERROR(INDEX(datatypes!$A$2:$A$200,MATCH(0,INDEX(COUNTIF($AV$4:AV35,datatypes!$A$2:$A$200),0,0),0)),"")</f>
        <v/>
      </c>
      <c r="AW36" s="33">
        <f t="shared" si="16"/>
        <v>0</v>
      </c>
      <c r="AX36" s="94">
        <f t="shared" si="9"/>
        <v>0</v>
      </c>
      <c r="AZ36" s="33">
        <f t="shared" si="17"/>
        <v>0</v>
      </c>
      <c r="BA36" s="14" t="str" cm="1">
        <f t="array" ref="BA36">IFERROR(INDEX(datatypes!$A$2:$A$200,MATCH(0,INDEX(COUNTIF($BA$4:BA35,datatypes!$A$2:$A$200),0,0),0)),"")</f>
        <v/>
      </c>
      <c r="BB36" s="33">
        <f t="shared" si="10"/>
        <v>0</v>
      </c>
      <c r="BC36" s="69">
        <f t="shared" si="18"/>
        <v>0</v>
      </c>
    </row>
    <row r="37" spans="1:55" x14ac:dyDescent="0.3">
      <c r="A37">
        <v>9</v>
      </c>
      <c r="B37" t="s">
        <v>100</v>
      </c>
      <c r="C37" s="7">
        <f>SUMIF(Income!G:G,analitics!A37,Income!F:F)</f>
        <v>0</v>
      </c>
      <c r="G37" s="10" t="str" cm="1">
        <f t="array" ref="G37">IFERROR(INDEX(datatypes!$A$2:$A$200,MATCH(0,INDEX(COUNTIF($G$4:G36,datatypes!$A$2:$A$200),0,0),0)),"")</f>
        <v/>
      </c>
      <c r="H37" s="12">
        <f>SUMIF(Income!B:B,analitics!G37,Income!F:F)</f>
        <v>0</v>
      </c>
      <c r="I37" s="14">
        <f>SUMIF(Income!B:B,analitics!G37,Income!D:D)</f>
        <v>0</v>
      </c>
      <c r="J37" s="69">
        <f t="shared" si="4"/>
        <v>0</v>
      </c>
      <c r="N37" s="10" t="str" cm="1">
        <f t="array" ref="N37">IFERROR(INDEX(datatypes!$A$2:$A$200,MATCH(0,INDEX(COUNTIF($N$4:N36,datatypes!$A$2:$A$200),0,0),0)),"")</f>
        <v/>
      </c>
      <c r="O37" s="14">
        <f t="shared" si="5"/>
        <v>0</v>
      </c>
      <c r="P37" s="33">
        <f t="shared" si="12"/>
        <v>0</v>
      </c>
      <c r="Q37" s="69">
        <f t="shared" si="6"/>
        <v>0</v>
      </c>
      <c r="V37" s="10" t="str" cm="1">
        <f t="array" ref="V37">IFERROR(INDEX(datatypes!$A$2:$A$200,MATCH(0,INDEX(COUNTIF($V$4:V36,datatypes!$A$2:$A$200),0,0),0)),"")</f>
        <v/>
      </c>
      <c r="W37" s="89">
        <f t="shared" si="13"/>
        <v>0</v>
      </c>
      <c r="X37" s="91">
        <f t="shared" si="14"/>
        <v>0</v>
      </c>
      <c r="AC37" s="10" t="str" cm="1">
        <f t="array" ref="AC37">IFERROR(INDEX(datatypes!$A$2:$A$200,MATCH(0,INDEX(COUNTIF($AC$4:AC36,datatypes!$A$2:$A$200),0,0),0)),"")</f>
        <v/>
      </c>
      <c r="AD37" s="12">
        <f>SUMIF(Stock!B:B,analitics!AC37,Stock!F:F)</f>
        <v>0</v>
      </c>
      <c r="AE37" s="14">
        <f>SUMIF(Stock!B:B,analitics!AC37,Stock!D:D)</f>
        <v>0</v>
      </c>
      <c r="AF37" s="69">
        <f t="shared" si="15"/>
        <v>0</v>
      </c>
      <c r="AN37" s="10" t="str" cm="1">
        <f t="array" ref="AN37">IFERROR(INDEX(datatypes!$A$2:$A$200,MATCH(0,INDEX(COUNTIF($AC$4:AC36,datatypes!$A$2:$A$200),0,0),0)),"")</f>
        <v/>
      </c>
      <c r="AO37" s="14">
        <f>SUMIF(Income!B:B,analitics!AN37,Income!D:D)</f>
        <v>0</v>
      </c>
      <c r="AP37" s="14">
        <f>SUMIF(Stock!B:B,analitics!AN37,Stock!D:D)</f>
        <v>0</v>
      </c>
      <c r="AQ37" s="34">
        <f t="shared" si="8"/>
        <v>0</v>
      </c>
      <c r="AV37" s="10" t="str" cm="1">
        <f t="array" ref="AV37">IFERROR(INDEX(datatypes!$A$2:$A$200,MATCH(0,INDEX(COUNTIF($AV$4:AV36,datatypes!$A$2:$A$200),0,0),0)),"")</f>
        <v/>
      </c>
      <c r="AW37" s="33">
        <f t="shared" si="16"/>
        <v>0</v>
      </c>
      <c r="AX37" s="94">
        <f t="shared" si="9"/>
        <v>0</v>
      </c>
      <c r="AZ37" s="33">
        <f t="shared" si="17"/>
        <v>0</v>
      </c>
      <c r="BA37" s="14" t="str" cm="1">
        <f t="array" ref="BA37">IFERROR(INDEX(datatypes!$A$2:$A$200,MATCH(0,INDEX(COUNTIF($BA$4:BA36,datatypes!$A$2:$A$200),0,0),0)),"")</f>
        <v/>
      </c>
      <c r="BB37" s="33">
        <f t="shared" si="10"/>
        <v>0</v>
      </c>
      <c r="BC37" s="69">
        <f t="shared" si="18"/>
        <v>0</v>
      </c>
    </row>
    <row r="38" spans="1:55" x14ac:dyDescent="0.3">
      <c r="A38">
        <v>10</v>
      </c>
      <c r="B38" t="s">
        <v>101</v>
      </c>
      <c r="C38" s="7">
        <f>SUMIF(Income!G:G,analitics!A38,Income!F:F)</f>
        <v>0</v>
      </c>
      <c r="G38" s="10" t="str" cm="1">
        <f t="array" ref="G38">IFERROR(INDEX(datatypes!$A$2:$A$200,MATCH(0,INDEX(COUNTIF($G$4:G37,datatypes!$A$2:$A$200),0,0),0)),"")</f>
        <v/>
      </c>
      <c r="H38" s="12">
        <f>SUMIF(Income!B:B,analitics!G38,Income!F:F)</f>
        <v>0</v>
      </c>
      <c r="I38" s="14">
        <f>SUMIF(Income!B:B,analitics!G38,Income!D:D)</f>
        <v>0</v>
      </c>
      <c r="J38" s="69">
        <f t="shared" si="4"/>
        <v>0</v>
      </c>
      <c r="N38" s="10" t="str" cm="1">
        <f t="array" ref="N38">IFERROR(INDEX(datatypes!$A$2:$A$200,MATCH(0,INDEX(COUNTIF($N$4:N37,datatypes!$A$2:$A$200),0,0),0)),"")</f>
        <v/>
      </c>
      <c r="O38" s="14">
        <f t="shared" si="5"/>
        <v>0</v>
      </c>
      <c r="P38" s="33">
        <f t="shared" si="12"/>
        <v>0</v>
      </c>
      <c r="Q38" s="69">
        <f t="shared" si="6"/>
        <v>0</v>
      </c>
      <c r="V38" s="10" t="str" cm="1">
        <f t="array" ref="V38">IFERROR(INDEX(datatypes!$A$2:$A$200,MATCH(0,INDEX(COUNTIF($V$4:V37,datatypes!$A$2:$A$200),0,0),0)),"")</f>
        <v/>
      </c>
      <c r="W38" s="89">
        <f t="shared" si="13"/>
        <v>0</v>
      </c>
      <c r="X38" s="91">
        <f t="shared" si="14"/>
        <v>0</v>
      </c>
      <c r="AC38" s="10" t="str" cm="1">
        <f t="array" ref="AC38">IFERROR(INDEX(datatypes!$A$2:$A$200,MATCH(0,INDEX(COUNTIF($AC$4:AC37,datatypes!$A$2:$A$200),0,0),0)),"")</f>
        <v/>
      </c>
      <c r="AD38" s="12">
        <f>SUMIF(Stock!B:B,analitics!AC38,Stock!F:F)</f>
        <v>0</v>
      </c>
      <c r="AE38" s="14">
        <f>SUMIF(Stock!B:B,analitics!AC38,Stock!D:D)</f>
        <v>0</v>
      </c>
      <c r="AF38" s="69">
        <f t="shared" si="15"/>
        <v>0</v>
      </c>
      <c r="AN38" s="10" t="str" cm="1">
        <f t="array" ref="AN38">IFERROR(INDEX(datatypes!$A$2:$A$200,MATCH(0,INDEX(COUNTIF($AC$4:AC37,datatypes!$A$2:$A$200),0,0),0)),"")</f>
        <v/>
      </c>
      <c r="AO38" s="14">
        <f>SUMIF(Income!B:B,analitics!AN38,Income!D:D)</f>
        <v>0</v>
      </c>
      <c r="AP38" s="14">
        <f>SUMIF(Stock!B:B,analitics!AN38,Stock!D:D)</f>
        <v>0</v>
      </c>
      <c r="AQ38" s="34">
        <f t="shared" si="8"/>
        <v>0</v>
      </c>
      <c r="AV38" s="10" t="str" cm="1">
        <f t="array" ref="AV38">IFERROR(INDEX(datatypes!$A$2:$A$200,MATCH(0,INDEX(COUNTIF($AV$4:AV37,datatypes!$A$2:$A$200),0,0),0)),"")</f>
        <v/>
      </c>
      <c r="AW38" s="33">
        <f t="shared" si="16"/>
        <v>0</v>
      </c>
      <c r="AX38" s="94">
        <f t="shared" si="9"/>
        <v>0</v>
      </c>
      <c r="AZ38" s="33">
        <f t="shared" si="17"/>
        <v>0</v>
      </c>
      <c r="BA38" s="14" t="str" cm="1">
        <f t="array" ref="BA38">IFERROR(INDEX(datatypes!$A$2:$A$200,MATCH(0,INDEX(COUNTIF($BA$4:BA37,datatypes!$A$2:$A$200),0,0),0)),"")</f>
        <v/>
      </c>
      <c r="BB38" s="33">
        <f t="shared" si="10"/>
        <v>0</v>
      </c>
      <c r="BC38" s="69">
        <f t="shared" si="18"/>
        <v>0</v>
      </c>
    </row>
    <row r="39" spans="1:55" x14ac:dyDescent="0.3">
      <c r="A39">
        <v>11</v>
      </c>
      <c r="B39" t="s">
        <v>102</v>
      </c>
      <c r="C39" s="7">
        <f>SUMIF(Income!G:G,analitics!A39,Income!F:F)</f>
        <v>0</v>
      </c>
      <c r="G39" s="10" t="str" cm="1">
        <f t="array" ref="G39">IFERROR(INDEX(datatypes!$A$2:$A$200,MATCH(0,INDEX(COUNTIF($G$4:G38,datatypes!$A$2:$A$200),0,0),0)),"")</f>
        <v/>
      </c>
      <c r="H39" s="12">
        <f>SUMIF(Income!B:B,analitics!G39,Income!F:F)</f>
        <v>0</v>
      </c>
      <c r="I39" s="14">
        <f>SUMIF(Income!B:B,analitics!G39,Income!D:D)</f>
        <v>0</v>
      </c>
      <c r="J39" s="69">
        <f t="shared" si="4"/>
        <v>0</v>
      </c>
      <c r="N39" s="10" t="str" cm="1">
        <f t="array" ref="N39">IFERROR(INDEX(datatypes!$A$2:$A$200,MATCH(0,INDEX(COUNTIF($N$4:N38,datatypes!$A$2:$A$200),0,0),0)),"")</f>
        <v/>
      </c>
      <c r="O39" s="14">
        <f t="shared" si="5"/>
        <v>0</v>
      </c>
      <c r="P39" s="33">
        <f t="shared" si="12"/>
        <v>0</v>
      </c>
      <c r="Q39" s="69">
        <f t="shared" si="6"/>
        <v>0</v>
      </c>
      <c r="V39" s="10" t="str" cm="1">
        <f t="array" ref="V39">IFERROR(INDEX(datatypes!$A$2:$A$200,MATCH(0,INDEX(COUNTIF($V$4:V38,datatypes!$A$2:$A$200),0,0),0)),"")</f>
        <v/>
      </c>
      <c r="W39" s="89">
        <f t="shared" si="13"/>
        <v>0</v>
      </c>
      <c r="X39" s="91">
        <f t="shared" si="14"/>
        <v>0</v>
      </c>
      <c r="AC39" s="10" t="str" cm="1">
        <f t="array" ref="AC39">IFERROR(INDEX(datatypes!$A$2:$A$200,MATCH(0,INDEX(COUNTIF($AC$4:AC38,datatypes!$A$2:$A$200),0,0),0)),"")</f>
        <v/>
      </c>
      <c r="AD39" s="12">
        <f>SUMIF(Stock!B:B,analitics!AC39,Stock!F:F)</f>
        <v>0</v>
      </c>
      <c r="AE39" s="14">
        <f>SUMIF(Stock!B:B,analitics!AC39,Stock!D:D)</f>
        <v>0</v>
      </c>
      <c r="AF39" s="69">
        <f t="shared" si="15"/>
        <v>0</v>
      </c>
      <c r="AN39" s="10" t="str" cm="1">
        <f t="array" ref="AN39">IFERROR(INDEX(datatypes!$A$2:$A$200,MATCH(0,INDEX(COUNTIF($AC$4:AC38,datatypes!$A$2:$A$200),0,0),0)),"")</f>
        <v/>
      </c>
      <c r="AO39" s="14">
        <f>SUMIF(Income!B:B,analitics!AN39,Income!D:D)</f>
        <v>0</v>
      </c>
      <c r="AP39" s="14">
        <f>SUMIF(Stock!B:B,analitics!AN39,Stock!D:D)</f>
        <v>0</v>
      </c>
      <c r="AQ39" s="34">
        <f t="shared" si="8"/>
        <v>0</v>
      </c>
      <c r="AV39" s="10" t="str" cm="1">
        <f t="array" ref="AV39">IFERROR(INDEX(datatypes!$A$2:$A$200,MATCH(0,INDEX(COUNTIF($AV$4:AV38,datatypes!$A$2:$A$200),0,0),0)),"")</f>
        <v/>
      </c>
      <c r="AW39" s="33">
        <f t="shared" si="16"/>
        <v>0</v>
      </c>
      <c r="AX39" s="94">
        <f t="shared" si="9"/>
        <v>0</v>
      </c>
      <c r="AZ39" s="33">
        <f t="shared" si="17"/>
        <v>0</v>
      </c>
      <c r="BA39" s="14" t="str" cm="1">
        <f t="array" ref="BA39">IFERROR(INDEX(datatypes!$A$2:$A$200,MATCH(0,INDEX(COUNTIF($BA$4:BA38,datatypes!$A$2:$A$200),0,0),0)),"")</f>
        <v/>
      </c>
      <c r="BB39" s="33">
        <f t="shared" si="10"/>
        <v>0</v>
      </c>
      <c r="BC39" s="69">
        <f t="shared" si="18"/>
        <v>0</v>
      </c>
    </row>
    <row r="40" spans="1:55" x14ac:dyDescent="0.3">
      <c r="A40">
        <v>12</v>
      </c>
      <c r="B40" t="s">
        <v>103</v>
      </c>
      <c r="C40" s="7">
        <f>SUMIF(Income!G:G,analitics!A40,Income!F:F)</f>
        <v>0</v>
      </c>
      <c r="G40" s="10" t="str" cm="1">
        <f t="array" ref="G40">IFERROR(INDEX(datatypes!$A$2:$A$200,MATCH(0,INDEX(COUNTIF($G$4:G39,datatypes!$A$2:$A$200),0,0),0)),"")</f>
        <v/>
      </c>
      <c r="H40" s="12">
        <f>SUMIF(Income!B:B,analitics!G40,Income!F:F)</f>
        <v>0</v>
      </c>
      <c r="I40" s="14">
        <f>SUMIF(Income!B:B,analitics!G40,Income!D:D)</f>
        <v>0</v>
      </c>
      <c r="J40" s="69">
        <f t="shared" si="4"/>
        <v>0</v>
      </c>
      <c r="N40" s="10" t="str" cm="1">
        <f t="array" ref="N40">IFERROR(INDEX(datatypes!$A$2:$A$200,MATCH(0,INDEX(COUNTIF($N$4:N39,datatypes!$A$2:$A$200),0,0),0)),"")</f>
        <v/>
      </c>
      <c r="O40" s="14">
        <f t="shared" si="5"/>
        <v>0</v>
      </c>
      <c r="P40" s="33">
        <f t="shared" si="12"/>
        <v>0</v>
      </c>
      <c r="Q40" s="69">
        <f t="shared" si="6"/>
        <v>0</v>
      </c>
      <c r="V40" s="10" t="str" cm="1">
        <f t="array" ref="V40">IFERROR(INDEX(datatypes!$A$2:$A$200,MATCH(0,INDEX(COUNTIF($V$4:V39,datatypes!$A$2:$A$200),0,0),0)),"")</f>
        <v/>
      </c>
      <c r="W40" s="89">
        <f t="shared" si="13"/>
        <v>0</v>
      </c>
      <c r="X40" s="91">
        <f t="shared" si="14"/>
        <v>0</v>
      </c>
      <c r="AC40" s="10" t="str" cm="1">
        <f t="array" ref="AC40">IFERROR(INDEX(datatypes!$A$2:$A$200,MATCH(0,INDEX(COUNTIF($AC$4:AC39,datatypes!$A$2:$A$200),0,0),0)),"")</f>
        <v/>
      </c>
      <c r="AD40" s="12">
        <f>SUMIF(Stock!B:B,analitics!AC40,Stock!F:F)</f>
        <v>0</v>
      </c>
      <c r="AE40" s="14">
        <f>SUMIF(Stock!B:B,analitics!AC40,Stock!D:D)</f>
        <v>0</v>
      </c>
      <c r="AF40" s="69">
        <f t="shared" si="15"/>
        <v>0</v>
      </c>
      <c r="AN40" s="10" t="str" cm="1">
        <f t="array" ref="AN40">IFERROR(INDEX(datatypes!$A$2:$A$200,MATCH(0,INDEX(COUNTIF($AC$4:AC39,datatypes!$A$2:$A$200),0,0),0)),"")</f>
        <v/>
      </c>
      <c r="AO40" s="14">
        <f>SUMIF(Income!B:B,analitics!AN40,Income!D:D)</f>
        <v>0</v>
      </c>
      <c r="AP40" s="14">
        <f>SUMIF(Stock!B:B,analitics!AN40,Stock!D:D)</f>
        <v>0</v>
      </c>
      <c r="AQ40" s="34">
        <f t="shared" si="8"/>
        <v>0</v>
      </c>
      <c r="AV40" s="10" t="str" cm="1">
        <f t="array" ref="AV40">IFERROR(INDEX(datatypes!$A$2:$A$200,MATCH(0,INDEX(COUNTIF($AV$4:AV39,datatypes!$A$2:$A$200),0,0),0)),"")</f>
        <v/>
      </c>
      <c r="AW40" s="33">
        <f t="shared" si="16"/>
        <v>0</v>
      </c>
      <c r="AX40" s="94">
        <f t="shared" si="9"/>
        <v>0</v>
      </c>
      <c r="AZ40" s="33">
        <f t="shared" si="17"/>
        <v>0</v>
      </c>
      <c r="BA40" s="14" t="str" cm="1">
        <f t="array" ref="BA40">IFERROR(INDEX(datatypes!$A$2:$A$200,MATCH(0,INDEX(COUNTIF($BA$4:BA39,datatypes!$A$2:$A$200),0,0),0)),"")</f>
        <v/>
      </c>
      <c r="BB40" s="33">
        <f t="shared" si="10"/>
        <v>0</v>
      </c>
      <c r="BC40" s="69">
        <f t="shared" si="18"/>
        <v>0</v>
      </c>
    </row>
    <row r="41" spans="1:55" x14ac:dyDescent="0.3">
      <c r="G41" s="10" t="str" cm="1">
        <f t="array" ref="G41">IFERROR(INDEX(datatypes!$A$2:$A$200,MATCH(0,INDEX(COUNTIF($G$4:G40,datatypes!$A$2:$A$200),0,0),0)),"")</f>
        <v/>
      </c>
      <c r="H41" s="12">
        <f>SUMIF(Income!B:B,analitics!G41,Income!F:F)</f>
        <v>0</v>
      </c>
      <c r="I41" s="14">
        <f>SUMIF(Income!B:B,analitics!G41,Income!D:D)</f>
        <v>0</v>
      </c>
      <c r="J41" s="69">
        <f t="shared" si="4"/>
        <v>0</v>
      </c>
      <c r="N41" s="10" t="str" cm="1">
        <f t="array" ref="N41">IFERROR(INDEX(datatypes!$A$2:$A$200,MATCH(0,INDEX(COUNTIF($N$4:N40,datatypes!$A$2:$A$200),0,0),0)),"")</f>
        <v/>
      </c>
      <c r="O41" s="14">
        <f t="shared" si="5"/>
        <v>0</v>
      </c>
      <c r="P41" s="33">
        <f t="shared" si="12"/>
        <v>0</v>
      </c>
      <c r="Q41" s="69">
        <f t="shared" si="6"/>
        <v>0</v>
      </c>
      <c r="V41" s="10" t="str" cm="1">
        <f t="array" ref="V41">IFERROR(INDEX(datatypes!$A$2:$A$200,MATCH(0,INDEX(COUNTIF($V$4:V40,datatypes!$A$2:$A$200),0,0),0)),"")</f>
        <v/>
      </c>
      <c r="W41" s="89">
        <f t="shared" si="13"/>
        <v>0</v>
      </c>
      <c r="X41" s="91">
        <f t="shared" si="14"/>
        <v>0</v>
      </c>
      <c r="AC41" s="10" t="str" cm="1">
        <f t="array" ref="AC41">IFERROR(INDEX(datatypes!$A$2:$A$200,MATCH(0,INDEX(COUNTIF($AC$4:AC40,datatypes!$A$2:$A$200),0,0),0)),"")</f>
        <v/>
      </c>
      <c r="AD41" s="12">
        <f>SUMIF(Stock!B:B,analitics!AC41,Stock!F:F)</f>
        <v>0</v>
      </c>
      <c r="AE41" s="14">
        <f>SUMIF(Stock!B:B,analitics!AC41,Stock!D:D)</f>
        <v>0</v>
      </c>
      <c r="AF41" s="69">
        <f t="shared" si="15"/>
        <v>0</v>
      </c>
      <c r="AN41" s="10" t="str" cm="1">
        <f t="array" ref="AN41">IFERROR(INDEX(datatypes!$A$2:$A$200,MATCH(0,INDEX(COUNTIF($AC$4:AC40,datatypes!$A$2:$A$200),0,0),0)),"")</f>
        <v/>
      </c>
      <c r="AO41" s="14">
        <f>SUMIF(Income!B:B,analitics!AN41,Income!D:D)</f>
        <v>0</v>
      </c>
      <c r="AP41" s="14">
        <f>SUMIF(Stock!B:B,analitics!AN41,Stock!D:D)</f>
        <v>0</v>
      </c>
      <c r="AQ41" s="34">
        <f t="shared" si="8"/>
        <v>0</v>
      </c>
      <c r="AV41" s="10" t="str" cm="1">
        <f t="array" ref="AV41">IFERROR(INDEX(datatypes!$A$2:$A$200,MATCH(0,INDEX(COUNTIF($AV$4:AV40,datatypes!$A$2:$A$200),0,0),0)),"")</f>
        <v/>
      </c>
      <c r="AW41" s="33">
        <f t="shared" si="16"/>
        <v>0</v>
      </c>
      <c r="AX41" s="94">
        <f t="shared" si="9"/>
        <v>0</v>
      </c>
      <c r="AZ41" s="33">
        <f t="shared" si="17"/>
        <v>0</v>
      </c>
      <c r="BA41" s="14" t="str" cm="1">
        <f t="array" ref="BA41">IFERROR(INDEX(datatypes!$A$2:$A$200,MATCH(0,INDEX(COUNTIF($BA$4:BA40,datatypes!$A$2:$A$200),0,0),0)),"")</f>
        <v/>
      </c>
      <c r="BB41" s="33">
        <f t="shared" si="10"/>
        <v>0</v>
      </c>
      <c r="BC41" s="69">
        <f t="shared" si="18"/>
        <v>0</v>
      </c>
    </row>
    <row r="42" spans="1:55" x14ac:dyDescent="0.3">
      <c r="G42" s="10" t="str" cm="1">
        <f t="array" ref="G42">IFERROR(INDEX(datatypes!$A$2:$A$200,MATCH(0,INDEX(COUNTIF($G$4:G41,datatypes!$A$2:$A$200),0,0),0)),"")</f>
        <v/>
      </c>
      <c r="H42" s="12">
        <f>SUMIF(Income!B:B,analitics!G42,Income!F:F)</f>
        <v>0</v>
      </c>
      <c r="I42" s="14">
        <f>SUMIF(Income!B:B,analitics!G42,Income!D:D)</f>
        <v>0</v>
      </c>
      <c r="J42" s="69">
        <f t="shared" si="4"/>
        <v>0</v>
      </c>
      <c r="N42" s="10" t="str" cm="1">
        <f t="array" ref="N42">IFERROR(INDEX(datatypes!$A$2:$A$200,MATCH(0,INDEX(COUNTIF($N$4:N41,datatypes!$A$2:$A$200),0,0),0)),"")</f>
        <v/>
      </c>
      <c r="O42" s="14">
        <f t="shared" si="5"/>
        <v>0</v>
      </c>
      <c r="P42" s="33">
        <f t="shared" si="12"/>
        <v>0</v>
      </c>
      <c r="Q42" s="69">
        <f t="shared" si="6"/>
        <v>0</v>
      </c>
      <c r="V42" s="10" t="str" cm="1">
        <f t="array" ref="V42">IFERROR(INDEX(datatypes!$A$2:$A$200,MATCH(0,INDEX(COUNTIF($V$4:V41,datatypes!$A$2:$A$200),0,0),0)),"")</f>
        <v/>
      </c>
      <c r="W42" s="89">
        <f t="shared" si="13"/>
        <v>0</v>
      </c>
      <c r="X42" s="91">
        <f t="shared" si="14"/>
        <v>0</v>
      </c>
      <c r="AC42" s="10" t="str" cm="1">
        <f t="array" ref="AC42">IFERROR(INDEX(datatypes!$A$2:$A$200,MATCH(0,INDEX(COUNTIF($AC$4:AC41,datatypes!$A$2:$A$200),0,0),0)),"")</f>
        <v/>
      </c>
      <c r="AD42" s="12">
        <f>SUMIF(Stock!B:B,analitics!AC42,Stock!F:F)</f>
        <v>0</v>
      </c>
      <c r="AE42" s="14">
        <f>SUMIF(Stock!B:B,analitics!AC42,Stock!D:D)</f>
        <v>0</v>
      </c>
      <c r="AF42" s="69">
        <f t="shared" si="15"/>
        <v>0</v>
      </c>
      <c r="AN42" s="10" t="str" cm="1">
        <f t="array" ref="AN42">IFERROR(INDEX(datatypes!$A$2:$A$200,MATCH(0,INDEX(COUNTIF($AC$4:AC41,datatypes!$A$2:$A$200),0,0),0)),"")</f>
        <v/>
      </c>
      <c r="AO42" s="14">
        <f>SUMIF(Income!B:B,analitics!AN42,Income!D:D)</f>
        <v>0</v>
      </c>
      <c r="AP42" s="14">
        <f>SUMIF(Stock!B:B,analitics!AN42,Stock!D:D)</f>
        <v>0</v>
      </c>
      <c r="AQ42" s="34">
        <f t="shared" si="8"/>
        <v>0</v>
      </c>
      <c r="AV42" s="10" t="str" cm="1">
        <f t="array" ref="AV42">IFERROR(INDEX(datatypes!$A$2:$A$200,MATCH(0,INDEX(COUNTIF($AV$4:AV41,datatypes!$A$2:$A$200),0,0),0)),"")</f>
        <v/>
      </c>
      <c r="AW42" s="33">
        <f t="shared" si="16"/>
        <v>0</v>
      </c>
      <c r="AX42" s="94">
        <f t="shared" si="9"/>
        <v>0</v>
      </c>
      <c r="AZ42" s="33">
        <f t="shared" si="17"/>
        <v>0</v>
      </c>
      <c r="BA42" s="14" t="str" cm="1">
        <f t="array" ref="BA42">IFERROR(INDEX(datatypes!$A$2:$A$200,MATCH(0,INDEX(COUNTIF($BA$4:BA41,datatypes!$A$2:$A$200),0,0),0)),"")</f>
        <v/>
      </c>
      <c r="BB42" s="33">
        <f t="shared" si="10"/>
        <v>0</v>
      </c>
      <c r="BC42" s="69">
        <f t="shared" si="18"/>
        <v>0</v>
      </c>
    </row>
    <row r="43" spans="1:55" x14ac:dyDescent="0.3">
      <c r="G43" s="10" t="str" cm="1">
        <f t="array" ref="G43">IFERROR(INDEX(datatypes!$A$2:$A$200,MATCH(0,INDEX(COUNTIF($G$4:G42,datatypes!$A$2:$A$200),0,0),0)),"")</f>
        <v/>
      </c>
      <c r="H43" s="12">
        <f>SUMIF(Income!B:B,analitics!G43,Income!F:F)</f>
        <v>0</v>
      </c>
      <c r="I43" s="14">
        <f>SUMIF(Income!B:B,analitics!G43,Income!D:D)</f>
        <v>0</v>
      </c>
      <c r="J43" s="69">
        <f t="shared" si="4"/>
        <v>0</v>
      </c>
      <c r="N43" s="10" t="str" cm="1">
        <f t="array" ref="N43">IFERROR(INDEX(datatypes!$A$2:$A$200,MATCH(0,INDEX(COUNTIF($N$4:N42,datatypes!$A$2:$A$200),0,0),0)),"")</f>
        <v/>
      </c>
      <c r="O43" s="14">
        <f t="shared" si="5"/>
        <v>0</v>
      </c>
      <c r="P43" s="33">
        <f t="shared" si="12"/>
        <v>0</v>
      </c>
      <c r="Q43" s="69">
        <f t="shared" si="6"/>
        <v>0</v>
      </c>
      <c r="V43" s="10" t="str" cm="1">
        <f t="array" ref="V43">IFERROR(INDEX(datatypes!$A$2:$A$200,MATCH(0,INDEX(COUNTIF($V$4:V42,datatypes!$A$2:$A$200),0,0),0)),"")</f>
        <v/>
      </c>
      <c r="W43" s="89">
        <f t="shared" si="13"/>
        <v>0</v>
      </c>
      <c r="X43" s="91">
        <f t="shared" si="14"/>
        <v>0</v>
      </c>
      <c r="AC43" s="10" t="str" cm="1">
        <f t="array" ref="AC43">IFERROR(INDEX(datatypes!$A$2:$A$200,MATCH(0,INDEX(COUNTIF($AC$4:AC42,datatypes!$A$2:$A$200),0,0),0)),"")</f>
        <v/>
      </c>
      <c r="AD43" s="12">
        <f>SUMIF(Stock!B:B,analitics!AC43,Stock!F:F)</f>
        <v>0</v>
      </c>
      <c r="AE43" s="14">
        <f>SUMIF(Stock!B:B,analitics!AC43,Stock!D:D)</f>
        <v>0</v>
      </c>
      <c r="AF43" s="69">
        <f t="shared" si="15"/>
        <v>0</v>
      </c>
      <c r="AN43" s="10" t="str" cm="1">
        <f t="array" ref="AN43">IFERROR(INDEX(datatypes!$A$2:$A$200,MATCH(0,INDEX(COUNTIF($AC$4:AC42,datatypes!$A$2:$A$200),0,0),0)),"")</f>
        <v/>
      </c>
      <c r="AO43" s="14">
        <f>SUMIF(Income!B:B,analitics!AN43,Income!D:D)</f>
        <v>0</v>
      </c>
      <c r="AP43" s="14">
        <f>SUMIF(Stock!B:B,analitics!AN43,Stock!D:D)</f>
        <v>0</v>
      </c>
      <c r="AQ43" s="34">
        <f t="shared" si="8"/>
        <v>0</v>
      </c>
      <c r="AV43" s="10" t="str" cm="1">
        <f t="array" ref="AV43">IFERROR(INDEX(datatypes!$A$2:$A$200,MATCH(0,INDEX(COUNTIF($AV$4:AV42,datatypes!$A$2:$A$200),0,0),0)),"")</f>
        <v/>
      </c>
      <c r="AW43" s="33">
        <f t="shared" si="16"/>
        <v>0</v>
      </c>
      <c r="AX43" s="94">
        <f t="shared" si="9"/>
        <v>0</v>
      </c>
      <c r="AZ43" s="33">
        <f t="shared" si="17"/>
        <v>0</v>
      </c>
      <c r="BA43" s="14" t="str" cm="1">
        <f t="array" ref="BA43">IFERROR(INDEX(datatypes!$A$2:$A$200,MATCH(0,INDEX(COUNTIF($BA$4:BA42,datatypes!$A$2:$A$200),0,0),0)),"")</f>
        <v/>
      </c>
      <c r="BB43" s="33">
        <f t="shared" si="10"/>
        <v>0</v>
      </c>
      <c r="BC43" s="69">
        <f t="shared" si="18"/>
        <v>0</v>
      </c>
    </row>
    <row r="44" spans="1:55" x14ac:dyDescent="0.3">
      <c r="G44" s="10" t="str" cm="1">
        <f t="array" ref="G44">IFERROR(INDEX(datatypes!$A$2:$A$200,MATCH(0,INDEX(COUNTIF($G$4:G43,datatypes!$A$2:$A$200),0,0),0)),"")</f>
        <v/>
      </c>
      <c r="H44" s="12">
        <f>SUMIF(Income!B:B,analitics!G44,Income!F:F)</f>
        <v>0</v>
      </c>
      <c r="I44" s="14">
        <f>SUMIF(Income!B:B,analitics!G44,Income!D:D)</f>
        <v>0</v>
      </c>
      <c r="J44" s="69">
        <f t="shared" si="4"/>
        <v>0</v>
      </c>
      <c r="N44" s="10" t="str" cm="1">
        <f t="array" ref="N44">IFERROR(INDEX(datatypes!$A$2:$A$200,MATCH(0,INDEX(COUNTIF($N$4:N43,datatypes!$A$2:$A$200),0,0),0)),"")</f>
        <v/>
      </c>
      <c r="O44" s="14">
        <f t="shared" si="5"/>
        <v>0</v>
      </c>
      <c r="P44" s="33">
        <f t="shared" si="12"/>
        <v>0</v>
      </c>
      <c r="Q44" s="69">
        <f t="shared" si="6"/>
        <v>0</v>
      </c>
      <c r="V44" s="10" t="str" cm="1">
        <f t="array" ref="V44">IFERROR(INDEX(datatypes!$A$2:$A$200,MATCH(0,INDEX(COUNTIF($V$4:V43,datatypes!$A$2:$A$200),0,0),0)),"")</f>
        <v/>
      </c>
      <c r="W44" s="89">
        <f t="shared" si="13"/>
        <v>0</v>
      </c>
      <c r="X44" s="91">
        <f t="shared" si="14"/>
        <v>0</v>
      </c>
      <c r="AC44" s="10" t="str" cm="1">
        <f t="array" ref="AC44">IFERROR(INDEX(datatypes!$A$2:$A$200,MATCH(0,INDEX(COUNTIF($AC$4:AC43,datatypes!$A$2:$A$200),0,0),0)),"")</f>
        <v/>
      </c>
      <c r="AD44" s="12">
        <f>SUMIF(Stock!B:B,analitics!AC44,Stock!F:F)</f>
        <v>0</v>
      </c>
      <c r="AE44" s="14">
        <f>SUMIF(Stock!B:B,analitics!AC44,Stock!D:D)</f>
        <v>0</v>
      </c>
      <c r="AF44" s="69">
        <f t="shared" si="15"/>
        <v>0</v>
      </c>
      <c r="AN44" s="10" t="str" cm="1">
        <f t="array" ref="AN44">IFERROR(INDEX(datatypes!$A$2:$A$200,MATCH(0,INDEX(COUNTIF($AC$4:AC43,datatypes!$A$2:$A$200),0,0),0)),"")</f>
        <v/>
      </c>
      <c r="AO44" s="14">
        <f>SUMIF(Income!B:B,analitics!AN44,Income!D:D)</f>
        <v>0</v>
      </c>
      <c r="AP44" s="14">
        <f>SUMIF(Stock!B:B,analitics!AN44,Stock!D:D)</f>
        <v>0</v>
      </c>
      <c r="AQ44" s="34">
        <f t="shared" si="8"/>
        <v>0</v>
      </c>
      <c r="AV44" s="10" t="str" cm="1">
        <f t="array" ref="AV44">IFERROR(INDEX(datatypes!$A$2:$A$200,MATCH(0,INDEX(COUNTIF($AV$4:AV43,datatypes!$A$2:$A$200),0,0),0)),"")</f>
        <v/>
      </c>
      <c r="AW44" s="33">
        <f t="shared" si="16"/>
        <v>0</v>
      </c>
      <c r="AX44" s="94">
        <f t="shared" si="9"/>
        <v>0</v>
      </c>
      <c r="AZ44" s="33">
        <f t="shared" si="17"/>
        <v>0</v>
      </c>
      <c r="BA44" s="14" t="str" cm="1">
        <f t="array" ref="BA44">IFERROR(INDEX(datatypes!$A$2:$A$200,MATCH(0,INDEX(COUNTIF($BA$4:BA43,datatypes!$A$2:$A$200),0,0),0)),"")</f>
        <v/>
      </c>
      <c r="BB44" s="33">
        <f t="shared" si="10"/>
        <v>0</v>
      </c>
      <c r="BC44" s="69">
        <f t="shared" si="18"/>
        <v>0</v>
      </c>
    </row>
    <row r="45" spans="1:55" x14ac:dyDescent="0.3">
      <c r="G45" s="10" t="str" cm="1">
        <f t="array" ref="G45">IFERROR(INDEX(datatypes!$A$2:$A$200,MATCH(0,INDEX(COUNTIF($G$4:G44,datatypes!$A$2:$A$200),0,0),0)),"")</f>
        <v/>
      </c>
      <c r="H45" s="12">
        <f>SUMIF(Income!B:B,analitics!G45,Income!F:F)</f>
        <v>0</v>
      </c>
      <c r="I45" s="14">
        <f>SUMIF(Income!B:B,analitics!G45,Income!D:D)</f>
        <v>0</v>
      </c>
      <c r="J45" s="69">
        <f t="shared" si="4"/>
        <v>0</v>
      </c>
      <c r="N45" s="10" t="str" cm="1">
        <f t="array" ref="N45">IFERROR(INDEX(datatypes!$A$2:$A$200,MATCH(0,INDEX(COUNTIF($N$4:N44,datatypes!$A$2:$A$200),0,0),0)),"")</f>
        <v/>
      </c>
      <c r="O45" s="14">
        <f t="shared" si="5"/>
        <v>0</v>
      </c>
      <c r="P45" s="33">
        <f t="shared" si="12"/>
        <v>0</v>
      </c>
      <c r="Q45" s="69">
        <f t="shared" si="6"/>
        <v>0</v>
      </c>
      <c r="V45" s="10" t="str" cm="1">
        <f t="array" ref="V45">IFERROR(INDEX(datatypes!$A$2:$A$200,MATCH(0,INDEX(COUNTIF($V$4:V44,datatypes!$A$2:$A$200),0,0),0)),"")</f>
        <v/>
      </c>
      <c r="W45" s="89">
        <f t="shared" si="13"/>
        <v>0</v>
      </c>
      <c r="X45" s="91">
        <f t="shared" si="14"/>
        <v>0</v>
      </c>
      <c r="AC45" s="10" t="str" cm="1">
        <f t="array" ref="AC45">IFERROR(INDEX(datatypes!$A$2:$A$200,MATCH(0,INDEX(COUNTIF($AC$4:AC44,datatypes!$A$2:$A$200),0,0),0)),"")</f>
        <v/>
      </c>
      <c r="AD45" s="12">
        <f>SUMIF(Stock!B:B,analitics!AC45,Stock!F:F)</f>
        <v>0</v>
      </c>
      <c r="AE45" s="14">
        <f>SUMIF(Stock!B:B,analitics!AC45,Stock!D:D)</f>
        <v>0</v>
      </c>
      <c r="AF45" s="69">
        <f t="shared" si="15"/>
        <v>0</v>
      </c>
      <c r="AN45" s="10" t="str" cm="1">
        <f t="array" ref="AN45">IFERROR(INDEX(datatypes!$A$2:$A$200,MATCH(0,INDEX(COUNTIF($AC$4:AC44,datatypes!$A$2:$A$200),0,0),0)),"")</f>
        <v/>
      </c>
      <c r="AO45" s="14">
        <f>SUMIF(Income!B:B,analitics!AN45,Income!D:D)</f>
        <v>0</v>
      </c>
      <c r="AP45" s="14">
        <f>SUMIF(Stock!B:B,analitics!AN45,Stock!D:D)</f>
        <v>0</v>
      </c>
      <c r="AQ45" s="34">
        <f t="shared" si="8"/>
        <v>0</v>
      </c>
      <c r="AV45" s="10" t="str" cm="1">
        <f t="array" ref="AV45">IFERROR(INDEX(datatypes!$A$2:$A$200,MATCH(0,INDEX(COUNTIF($AV$4:AV44,datatypes!$A$2:$A$200),0,0),0)),"")</f>
        <v/>
      </c>
      <c r="AW45" s="33">
        <f t="shared" si="16"/>
        <v>0</v>
      </c>
      <c r="AX45" s="94">
        <f t="shared" si="9"/>
        <v>0</v>
      </c>
      <c r="AZ45" s="33">
        <f t="shared" si="17"/>
        <v>0</v>
      </c>
      <c r="BA45" s="14" t="str" cm="1">
        <f t="array" ref="BA45">IFERROR(INDEX(datatypes!$A$2:$A$200,MATCH(0,INDEX(COUNTIF($BA$4:BA44,datatypes!$A$2:$A$200),0,0),0)),"")</f>
        <v/>
      </c>
      <c r="BB45" s="33">
        <f t="shared" si="10"/>
        <v>0</v>
      </c>
      <c r="BC45" s="69">
        <f t="shared" si="18"/>
        <v>0</v>
      </c>
    </row>
    <row r="46" spans="1:55" x14ac:dyDescent="0.3">
      <c r="G46" s="10" t="str" cm="1">
        <f t="array" ref="G46">IFERROR(INDEX(datatypes!$A$2:$A$200,MATCH(0,INDEX(COUNTIF($G$4:G45,datatypes!$A$2:$A$200),0,0),0)),"")</f>
        <v/>
      </c>
      <c r="H46" s="12">
        <f>SUMIF(Income!B:B,analitics!G46,Income!F:F)</f>
        <v>0</v>
      </c>
      <c r="I46" s="14">
        <f>SUMIF(Income!B:B,analitics!G46,Income!D:D)</f>
        <v>0</v>
      </c>
      <c r="J46" s="69">
        <f t="shared" si="4"/>
        <v>0</v>
      </c>
      <c r="N46" s="10" t="str" cm="1">
        <f t="array" ref="N46">IFERROR(INDEX(datatypes!$A$2:$A$200,MATCH(0,INDEX(COUNTIF($N$4:N45,datatypes!$A$2:$A$200),0,0),0)),"")</f>
        <v/>
      </c>
      <c r="O46" s="14">
        <f t="shared" si="5"/>
        <v>0</v>
      </c>
      <c r="P46" s="33">
        <f t="shared" si="12"/>
        <v>0</v>
      </c>
      <c r="Q46" s="69">
        <f t="shared" si="6"/>
        <v>0</v>
      </c>
      <c r="V46" s="10" t="str" cm="1">
        <f t="array" ref="V46">IFERROR(INDEX(datatypes!$A$2:$A$200,MATCH(0,INDEX(COUNTIF($V$4:V45,datatypes!$A$2:$A$200),0,0),0)),"")</f>
        <v/>
      </c>
      <c r="W46" s="89">
        <f t="shared" si="13"/>
        <v>0</v>
      </c>
      <c r="X46" s="91">
        <f t="shared" si="14"/>
        <v>0</v>
      </c>
      <c r="AC46" s="10" t="str" cm="1">
        <f t="array" ref="AC46">IFERROR(INDEX(datatypes!$A$2:$A$200,MATCH(0,INDEX(COUNTIF($AC$4:AC45,datatypes!$A$2:$A$200),0,0),0)),"")</f>
        <v/>
      </c>
      <c r="AD46" s="12">
        <f>SUMIF(Stock!B:B,analitics!AC46,Stock!F:F)</f>
        <v>0</v>
      </c>
      <c r="AE46" s="14">
        <f>SUMIF(Stock!B:B,analitics!AC46,Stock!D:D)</f>
        <v>0</v>
      </c>
      <c r="AF46" s="69">
        <f t="shared" si="15"/>
        <v>0</v>
      </c>
      <c r="AN46" s="10" t="str" cm="1">
        <f t="array" ref="AN46">IFERROR(INDEX(datatypes!$A$2:$A$200,MATCH(0,INDEX(COUNTIF($AC$4:AC45,datatypes!$A$2:$A$200),0,0),0)),"")</f>
        <v/>
      </c>
      <c r="AO46" s="14">
        <f>SUMIF(Income!B:B,analitics!AN46,Income!D:D)</f>
        <v>0</v>
      </c>
      <c r="AP46" s="14">
        <f>SUMIF(Stock!B:B,analitics!AN46,Stock!D:D)</f>
        <v>0</v>
      </c>
      <c r="AQ46" s="34">
        <f t="shared" si="8"/>
        <v>0</v>
      </c>
      <c r="AV46" s="10" t="str" cm="1">
        <f t="array" ref="AV46">IFERROR(INDEX(datatypes!$A$2:$A$200,MATCH(0,INDEX(COUNTIF($AV$4:AV45,datatypes!$A$2:$A$200),0,0),0)),"")</f>
        <v/>
      </c>
      <c r="AW46" s="33">
        <f t="shared" si="16"/>
        <v>0</v>
      </c>
      <c r="AX46" s="94">
        <f t="shared" si="9"/>
        <v>0</v>
      </c>
      <c r="AZ46" s="33">
        <f t="shared" si="17"/>
        <v>0</v>
      </c>
      <c r="BA46" s="14" t="str" cm="1">
        <f t="array" ref="BA46">IFERROR(INDEX(datatypes!$A$2:$A$200,MATCH(0,INDEX(COUNTIF($BA$4:BA45,datatypes!$A$2:$A$200),0,0),0)),"")</f>
        <v/>
      </c>
      <c r="BB46" s="33">
        <f t="shared" si="10"/>
        <v>0</v>
      </c>
      <c r="BC46" s="69">
        <f t="shared" si="18"/>
        <v>0</v>
      </c>
    </row>
    <row r="47" spans="1:55" x14ac:dyDescent="0.3">
      <c r="G47" s="10" t="str" cm="1">
        <f t="array" ref="G47">IFERROR(INDEX(datatypes!$A$2:$A$200,MATCH(0,INDEX(COUNTIF($G$4:G46,datatypes!$A$2:$A$200),0,0),0)),"")</f>
        <v/>
      </c>
      <c r="H47" s="12">
        <f>SUMIF(Income!B:B,analitics!G47,Income!F:F)</f>
        <v>0</v>
      </c>
      <c r="I47" s="14">
        <f>SUMIF(Income!B:B,analitics!G47,Income!D:D)</f>
        <v>0</v>
      </c>
      <c r="J47" s="69">
        <f t="shared" si="4"/>
        <v>0</v>
      </c>
      <c r="N47" s="10" t="str" cm="1">
        <f t="array" ref="N47">IFERROR(INDEX(datatypes!$A$2:$A$200,MATCH(0,INDEX(COUNTIF($N$4:N46,datatypes!$A$2:$A$200),0,0),0)),"")</f>
        <v/>
      </c>
      <c r="O47" s="14">
        <f t="shared" si="5"/>
        <v>0</v>
      </c>
      <c r="P47" s="33">
        <f t="shared" si="12"/>
        <v>0</v>
      </c>
      <c r="Q47" s="69">
        <f t="shared" si="6"/>
        <v>0</v>
      </c>
      <c r="V47" s="10" t="str" cm="1">
        <f t="array" ref="V47">IFERROR(INDEX(datatypes!$A$2:$A$200,MATCH(0,INDEX(COUNTIF($V$4:V46,datatypes!$A$2:$A$200),0,0),0)),"")</f>
        <v/>
      </c>
      <c r="W47" s="89">
        <f t="shared" si="13"/>
        <v>0</v>
      </c>
      <c r="X47" s="91">
        <f t="shared" si="14"/>
        <v>0</v>
      </c>
      <c r="AC47" s="10" t="str" cm="1">
        <f t="array" ref="AC47">IFERROR(INDEX(datatypes!$A$2:$A$200,MATCH(0,INDEX(COUNTIF($AC$4:AC46,datatypes!$A$2:$A$200),0,0),0)),"")</f>
        <v/>
      </c>
      <c r="AD47" s="12">
        <f>SUMIF(Stock!B:B,analitics!AC47,Stock!F:F)</f>
        <v>0</v>
      </c>
      <c r="AE47" s="14">
        <f>SUMIF(Stock!B:B,analitics!AC47,Stock!D:D)</f>
        <v>0</v>
      </c>
      <c r="AF47" s="69">
        <f t="shared" si="15"/>
        <v>0</v>
      </c>
      <c r="AN47" s="10" t="str" cm="1">
        <f t="array" ref="AN47">IFERROR(INDEX(datatypes!$A$2:$A$200,MATCH(0,INDEX(COUNTIF($AC$4:AC46,datatypes!$A$2:$A$200),0,0),0)),"")</f>
        <v/>
      </c>
      <c r="AO47" s="14">
        <f>SUMIF(Income!B:B,analitics!AN47,Income!D:D)</f>
        <v>0</v>
      </c>
      <c r="AP47" s="14">
        <f>SUMIF(Stock!B:B,analitics!AN47,Stock!D:D)</f>
        <v>0</v>
      </c>
      <c r="AQ47" s="34">
        <f t="shared" si="8"/>
        <v>0</v>
      </c>
      <c r="AV47" s="10" t="str" cm="1">
        <f t="array" ref="AV47">IFERROR(INDEX(datatypes!$A$2:$A$200,MATCH(0,INDEX(COUNTIF($AV$4:AV46,datatypes!$A$2:$A$200),0,0),0)),"")</f>
        <v/>
      </c>
      <c r="AW47" s="33">
        <f t="shared" si="16"/>
        <v>0</v>
      </c>
      <c r="AX47" s="94">
        <f t="shared" si="9"/>
        <v>0</v>
      </c>
      <c r="AZ47" s="33">
        <f t="shared" si="17"/>
        <v>0</v>
      </c>
      <c r="BA47" s="14" t="str" cm="1">
        <f t="array" ref="BA47">IFERROR(INDEX(datatypes!$A$2:$A$200,MATCH(0,INDEX(COUNTIF($BA$4:BA46,datatypes!$A$2:$A$200),0,0),0)),"")</f>
        <v/>
      </c>
      <c r="BB47" s="33">
        <f t="shared" si="10"/>
        <v>0</v>
      </c>
      <c r="BC47" s="69">
        <f t="shared" si="18"/>
        <v>0</v>
      </c>
    </row>
    <row r="48" spans="1:55" x14ac:dyDescent="0.3">
      <c r="G48" s="10" t="str" cm="1">
        <f t="array" ref="G48">IFERROR(INDEX(datatypes!$A$2:$A$200,MATCH(0,INDEX(COUNTIF($G$4:G47,datatypes!$A$2:$A$200),0,0),0)),"")</f>
        <v/>
      </c>
      <c r="H48" s="12">
        <f>SUMIF(Income!B:B,analitics!G48,Income!F:F)</f>
        <v>0</v>
      </c>
      <c r="I48" s="14">
        <f>SUMIF(Income!B:B,analitics!G48,Income!D:D)</f>
        <v>0</v>
      </c>
      <c r="J48" s="69">
        <f t="shared" si="4"/>
        <v>0</v>
      </c>
      <c r="N48" s="10" t="str" cm="1">
        <f t="array" ref="N48">IFERROR(INDEX(datatypes!$A$2:$A$200,MATCH(0,INDEX(COUNTIF($N$4:N47,datatypes!$A$2:$A$200),0,0),0)),"")</f>
        <v/>
      </c>
      <c r="O48" s="14">
        <f t="shared" si="5"/>
        <v>0</v>
      </c>
      <c r="P48" s="33">
        <f t="shared" si="12"/>
        <v>0</v>
      </c>
      <c r="Q48" s="69">
        <f t="shared" si="6"/>
        <v>0</v>
      </c>
      <c r="V48" s="10" t="str" cm="1">
        <f t="array" ref="V48">IFERROR(INDEX(datatypes!$A$2:$A$200,MATCH(0,INDEX(COUNTIF($V$4:V47,datatypes!$A$2:$A$200),0,0),0)),"")</f>
        <v/>
      </c>
      <c r="W48" s="89">
        <f t="shared" si="13"/>
        <v>0</v>
      </c>
      <c r="X48" s="91">
        <f t="shared" si="14"/>
        <v>0</v>
      </c>
      <c r="AC48" s="10" t="str" cm="1">
        <f t="array" ref="AC48">IFERROR(INDEX(datatypes!$A$2:$A$200,MATCH(0,INDEX(COUNTIF($AC$4:AC47,datatypes!$A$2:$A$200),0,0),0)),"")</f>
        <v/>
      </c>
      <c r="AD48" s="12">
        <f>SUMIF(Stock!B:B,analitics!AC48,Stock!F:F)</f>
        <v>0</v>
      </c>
      <c r="AE48" s="14">
        <f>SUMIF(Stock!B:B,analitics!AC48,Stock!D:D)</f>
        <v>0</v>
      </c>
      <c r="AF48" s="69">
        <f t="shared" si="15"/>
        <v>0</v>
      </c>
      <c r="AN48" s="10" t="str" cm="1">
        <f t="array" ref="AN48">IFERROR(INDEX(datatypes!$A$2:$A$200,MATCH(0,INDEX(COUNTIF($AC$4:AC47,datatypes!$A$2:$A$200),0,0),0)),"")</f>
        <v/>
      </c>
      <c r="AO48" s="14">
        <f>SUMIF(Income!B:B,analitics!AN48,Income!D:D)</f>
        <v>0</v>
      </c>
      <c r="AP48" s="14">
        <f>SUMIF(Stock!B:B,analitics!AN48,Stock!D:D)</f>
        <v>0</v>
      </c>
      <c r="AQ48" s="34">
        <f t="shared" si="8"/>
        <v>0</v>
      </c>
      <c r="AV48" s="10" t="str" cm="1">
        <f t="array" ref="AV48">IFERROR(INDEX(datatypes!$A$2:$A$200,MATCH(0,INDEX(COUNTIF($AV$4:AV47,datatypes!$A$2:$A$200),0,0),0)),"")</f>
        <v/>
      </c>
      <c r="AW48" s="33">
        <f t="shared" si="16"/>
        <v>0</v>
      </c>
      <c r="AX48" s="94">
        <f t="shared" si="9"/>
        <v>0</v>
      </c>
      <c r="AZ48" s="33">
        <f t="shared" si="17"/>
        <v>0</v>
      </c>
      <c r="BA48" s="14" t="str" cm="1">
        <f t="array" ref="BA48">IFERROR(INDEX(datatypes!$A$2:$A$200,MATCH(0,INDEX(COUNTIF($BA$4:BA47,datatypes!$A$2:$A$200),0,0),0)),"")</f>
        <v/>
      </c>
      <c r="BB48" s="33">
        <f t="shared" si="10"/>
        <v>0</v>
      </c>
      <c r="BC48" s="69">
        <f t="shared" si="18"/>
        <v>0</v>
      </c>
    </row>
    <row r="49" spans="7:55" x14ac:dyDescent="0.3">
      <c r="G49" s="10" t="str" cm="1">
        <f t="array" ref="G49">IFERROR(INDEX(datatypes!$A$2:$A$200,MATCH(0,INDEX(COUNTIF($G$4:G48,datatypes!$A$2:$A$200),0,0),0)),"")</f>
        <v/>
      </c>
      <c r="H49" s="12">
        <f>SUMIF(Income!B:B,analitics!G49,Income!F:F)</f>
        <v>0</v>
      </c>
      <c r="I49" s="14">
        <f>SUMIF(Income!B:B,analitics!G49,Income!D:D)</f>
        <v>0</v>
      </c>
      <c r="J49" s="69">
        <f t="shared" si="4"/>
        <v>0</v>
      </c>
      <c r="N49" s="10" t="str" cm="1">
        <f t="array" ref="N49">IFERROR(INDEX(datatypes!$A$2:$A$200,MATCH(0,INDEX(COUNTIF($N$4:N48,datatypes!$A$2:$A$200),0,0),0)),"")</f>
        <v/>
      </c>
      <c r="O49" s="14">
        <f t="shared" si="5"/>
        <v>0</v>
      </c>
      <c r="P49" s="33">
        <f t="shared" si="12"/>
        <v>0</v>
      </c>
      <c r="Q49" s="69">
        <f t="shared" si="6"/>
        <v>0</v>
      </c>
      <c r="V49" s="10" t="str" cm="1">
        <f t="array" ref="V49">IFERROR(INDEX(datatypes!$A$2:$A$200,MATCH(0,INDEX(COUNTIF($V$4:V48,datatypes!$A$2:$A$200),0,0),0)),"")</f>
        <v/>
      </c>
      <c r="W49" s="89">
        <f t="shared" si="13"/>
        <v>0</v>
      </c>
      <c r="X49" s="91">
        <f t="shared" si="14"/>
        <v>0</v>
      </c>
      <c r="AC49" s="10" t="str" cm="1">
        <f t="array" ref="AC49">IFERROR(INDEX(datatypes!$A$2:$A$200,MATCH(0,INDEX(COUNTIF($AC$4:AC48,datatypes!$A$2:$A$200),0,0),0)),"")</f>
        <v/>
      </c>
      <c r="AD49" s="12">
        <f>SUMIF(Stock!B:B,analitics!AC49,Stock!F:F)</f>
        <v>0</v>
      </c>
      <c r="AE49" s="14">
        <f>SUMIF(Stock!B:B,analitics!AC49,Stock!D:D)</f>
        <v>0</v>
      </c>
      <c r="AF49" s="69">
        <f t="shared" si="15"/>
        <v>0</v>
      </c>
      <c r="AN49" s="10" t="str" cm="1">
        <f t="array" ref="AN49">IFERROR(INDEX(datatypes!$A$2:$A$200,MATCH(0,INDEX(COUNTIF($AC$4:AC48,datatypes!$A$2:$A$200),0,0),0)),"")</f>
        <v/>
      </c>
      <c r="AO49" s="14">
        <f>SUMIF(Income!B:B,analitics!AN49,Income!D:D)</f>
        <v>0</v>
      </c>
      <c r="AP49" s="14">
        <f>SUMIF(Stock!B:B,analitics!AN49,Stock!D:D)</f>
        <v>0</v>
      </c>
      <c r="AQ49" s="34">
        <f t="shared" si="8"/>
        <v>0</v>
      </c>
      <c r="AV49" s="10" t="str" cm="1">
        <f t="array" ref="AV49">IFERROR(INDEX(datatypes!$A$2:$A$200,MATCH(0,INDEX(COUNTIF($AV$4:AV48,datatypes!$A$2:$A$200),0,0),0)),"")</f>
        <v/>
      </c>
      <c r="AW49" s="33">
        <f t="shared" si="16"/>
        <v>0</v>
      </c>
      <c r="AX49" s="94">
        <f t="shared" si="9"/>
        <v>0</v>
      </c>
      <c r="AZ49" s="33">
        <f t="shared" si="17"/>
        <v>0</v>
      </c>
      <c r="BA49" s="14" t="str" cm="1">
        <f t="array" ref="BA49">IFERROR(INDEX(datatypes!$A$2:$A$200,MATCH(0,INDEX(COUNTIF($BA$4:BA48,datatypes!$A$2:$A$200),0,0),0)),"")</f>
        <v/>
      </c>
      <c r="BB49" s="33">
        <f t="shared" si="10"/>
        <v>0</v>
      </c>
      <c r="BC49" s="69">
        <f t="shared" si="18"/>
        <v>0</v>
      </c>
    </row>
    <row r="50" spans="7:55" s="83" customFormat="1" x14ac:dyDescent="0.3">
      <c r="G50" s="84" t="str" cm="1">
        <f t="array" ref="G50">IFERROR(INDEX(datatypes!$A$2:$A$200,MATCH(0,INDEX(COUNTIF($G$4:G49,datatypes!$A$2:$A$200),0,0),0)),"")</f>
        <v/>
      </c>
      <c r="H50" s="85">
        <f>SUMIF(Income!B:B,analitics!G50,Income!F:F)</f>
        <v>0</v>
      </c>
      <c r="I50" s="86">
        <f>SUMIF(Income!B:B,analitics!G50,Income!D:D)</f>
        <v>0</v>
      </c>
      <c r="J50" s="87">
        <f t="shared" si="4"/>
        <v>0</v>
      </c>
      <c r="N50" s="84" t="str" cm="1">
        <f t="array" ref="N50">IFERROR(INDEX(datatypes!$A$2:$A$200,MATCH(0,INDEX(COUNTIF($N$4:N49,datatypes!$A$2:$A$200),0,0),0)),"")</f>
        <v/>
      </c>
      <c r="O50" s="14">
        <f t="shared" si="5"/>
        <v>0</v>
      </c>
      <c r="P50" s="33">
        <f t="shared" si="12"/>
        <v>0</v>
      </c>
      <c r="Q50" s="69">
        <f t="shared" si="6"/>
        <v>0</v>
      </c>
      <c r="V50" s="10" t="str" cm="1">
        <f t="array" ref="V50">IFERROR(INDEX(datatypes!$A$2:$A$200,MATCH(0,INDEX(COUNTIF($V$4:V49,datatypes!$A$2:$A$200),0,0),0)),"")</f>
        <v/>
      </c>
      <c r="W50" s="89">
        <f t="shared" ref="W50" si="19">IFERROR((J50-AF50)/J50,0)</f>
        <v>0</v>
      </c>
      <c r="X50" s="91">
        <f t="shared" ref="X50" si="20">IFERROR((J50-(AF50+C90))/J50,0)</f>
        <v>0</v>
      </c>
      <c r="AC50" s="10" t="str" cm="1">
        <f t="array" ref="AC50">IFERROR(INDEX(datatypes!$A$2:$A$200,MATCH(0,INDEX(COUNTIF($AC$4:AC49,datatypes!$A$2:$A$200),0,0),0)),"")</f>
        <v/>
      </c>
      <c r="AD50" s="12">
        <f>SUMIF(Stock!B:B,analitics!AC50,Stock!F:F)</f>
        <v>0</v>
      </c>
      <c r="AE50" s="14">
        <f>SUMIF(Stock!B:B,analitics!AC50,Stock!D:D)</f>
        <v>0</v>
      </c>
      <c r="AF50" s="69">
        <f t="shared" si="15"/>
        <v>0</v>
      </c>
      <c r="AJ50" s="84"/>
      <c r="AK50" s="88"/>
      <c r="AN50" s="10" t="str" cm="1">
        <f t="array" ref="AN50">IFERROR(INDEX(datatypes!$A$2:$A$200,MATCH(0,INDEX(COUNTIF($AC$4:AC49,datatypes!$A$2:$A$200),0,0),0)),"")</f>
        <v/>
      </c>
      <c r="AO50" s="14">
        <f>SUMIF(Income!B:B,analitics!AN50,Income!D:D)</f>
        <v>0</v>
      </c>
      <c r="AP50" s="14">
        <f>SUMIF(Stock!B:B,analitics!AN50,Stock!D:D)</f>
        <v>0</v>
      </c>
      <c r="AQ50" s="34">
        <f t="shared" si="8"/>
        <v>0</v>
      </c>
      <c r="AV50" s="10" t="str" cm="1">
        <f t="array" ref="AV50">IFERROR(INDEX(datatypes!$A$2:$A$200,MATCH(0,INDEX(COUNTIF($AV$4:AV49,datatypes!$A$2:$A$200),0,0),0)),"")</f>
        <v/>
      </c>
      <c r="AW50" s="33">
        <f t="shared" si="16"/>
        <v>0</v>
      </c>
      <c r="AX50" s="94">
        <f t="shared" si="9"/>
        <v>0</v>
      </c>
      <c r="AY50" s="86"/>
      <c r="AZ50" s="33">
        <f t="shared" si="17"/>
        <v>0</v>
      </c>
      <c r="BA50" s="14" t="str" cm="1">
        <f t="array" ref="BA50">IFERROR(INDEX(datatypes!$A$2:$A$200,MATCH(0,INDEX(COUNTIF($BA$4:BA49,datatypes!$A$2:$A$200),0,0),0)),"")</f>
        <v/>
      </c>
      <c r="BB50" s="33">
        <f t="shared" si="10"/>
        <v>0</v>
      </c>
      <c r="BC50" s="69">
        <f t="shared" si="18"/>
        <v>0</v>
      </c>
    </row>
  </sheetData>
  <mergeCells count="8">
    <mergeCell ref="AV1:BC2"/>
    <mergeCell ref="BH1:BJ2"/>
    <mergeCell ref="G1:J2"/>
    <mergeCell ref="N1:Q2"/>
    <mergeCell ref="V1:X2"/>
    <mergeCell ref="AC1:AF2"/>
    <mergeCell ref="AJ1:AK2"/>
    <mergeCell ref="AN1:AQ2"/>
  </mergeCells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Y48"/>
  <sheetViews>
    <sheetView zoomScale="40" zoomScaleNormal="40" workbookViewId="0">
      <selection activeCell="A7" sqref="A7:F40"/>
    </sheetView>
  </sheetViews>
  <sheetFormatPr baseColWidth="10" defaultColWidth="11.44140625" defaultRowHeight="14.4" x14ac:dyDescent="0.3"/>
  <sheetData>
    <row r="1" spans="1:51" x14ac:dyDescent="0.3">
      <c r="A1" t="s">
        <v>91</v>
      </c>
      <c r="B1">
        <f>INDEX(B24:B38,MATCH(MES!B1,'analitics (monthly)'!A24:A38,0))</f>
        <v>7</v>
      </c>
      <c r="I1" s="127" t="s">
        <v>136</v>
      </c>
      <c r="J1" s="127"/>
      <c r="K1" s="127"/>
      <c r="L1" s="127"/>
      <c r="O1" s="126" t="s">
        <v>135</v>
      </c>
      <c r="P1" s="126"/>
      <c r="Q1" s="126"/>
      <c r="R1" s="126"/>
      <c r="U1" s="113" t="s">
        <v>31</v>
      </c>
      <c r="V1" s="113"/>
      <c r="W1" s="113"/>
      <c r="Z1" s="127" t="s">
        <v>130</v>
      </c>
      <c r="AA1" s="127"/>
      <c r="AB1" s="127"/>
      <c r="AC1" s="127"/>
      <c r="AF1" s="127" t="s">
        <v>27</v>
      </c>
      <c r="AG1" s="127"/>
      <c r="AH1" s="127"/>
      <c r="AI1" s="127"/>
      <c r="AL1" s="113" t="s">
        <v>37</v>
      </c>
      <c r="AM1" s="113"/>
      <c r="AP1" s="113" t="s">
        <v>14</v>
      </c>
      <c r="AQ1" s="113"/>
      <c r="AR1" s="113"/>
      <c r="AS1" s="113"/>
      <c r="AW1" s="127" t="s">
        <v>134</v>
      </c>
      <c r="AX1" s="127"/>
      <c r="AY1" s="127"/>
    </row>
    <row r="2" spans="1:51" x14ac:dyDescent="0.3">
      <c r="I2" s="127"/>
      <c r="J2" s="127"/>
      <c r="K2" s="127"/>
      <c r="L2" s="127"/>
      <c r="O2" s="126"/>
      <c r="P2" s="126"/>
      <c r="Q2" s="126"/>
      <c r="R2" s="126"/>
      <c r="U2" s="113"/>
      <c r="V2" s="113"/>
      <c r="W2" s="113"/>
      <c r="Z2" s="127"/>
      <c r="AA2" s="127"/>
      <c r="AB2" s="127"/>
      <c r="AC2" s="127"/>
      <c r="AF2" s="127"/>
      <c r="AG2" s="127"/>
      <c r="AH2" s="127"/>
      <c r="AI2" s="127"/>
      <c r="AL2" s="113"/>
      <c r="AM2" s="113"/>
      <c r="AP2" s="113"/>
      <c r="AQ2" s="113"/>
      <c r="AR2" s="113"/>
      <c r="AS2" s="113"/>
      <c r="AW2" s="127"/>
      <c r="AX2" s="127"/>
      <c r="AY2" s="127"/>
    </row>
    <row r="3" spans="1:51" x14ac:dyDescent="0.3">
      <c r="I3" t="s">
        <v>23</v>
      </c>
      <c r="J3" s="19">
        <f>SUM(J5:J11)</f>
        <v>0</v>
      </c>
      <c r="K3" s="3">
        <f>SUM(K5:K11)</f>
        <v>0</v>
      </c>
      <c r="O3" s="8">
        <f>SUM(O5:O11)</f>
        <v>0</v>
      </c>
      <c r="P3" t="s">
        <v>5</v>
      </c>
      <c r="Q3" s="8">
        <f>SUM(Q5:Q11)</f>
        <v>0</v>
      </c>
      <c r="R3" s="8">
        <f>O3-Q3</f>
        <v>0</v>
      </c>
      <c r="U3" s="3" t="s">
        <v>31</v>
      </c>
      <c r="Z3" t="s">
        <v>54</v>
      </c>
      <c r="AC3" s="8">
        <f>SUM(AC5:AC11)</f>
        <v>0</v>
      </c>
      <c r="AF3" t="s">
        <v>15</v>
      </c>
      <c r="AG3" s="19">
        <f>SUM(AG5:AG11)</f>
        <v>0</v>
      </c>
      <c r="AH3" s="3">
        <f>SUM(AH5:AH11)</f>
        <v>0</v>
      </c>
      <c r="AL3" t="s">
        <v>37</v>
      </c>
      <c r="AP3" t="s">
        <v>33</v>
      </c>
      <c r="AQ3" t="s">
        <v>35</v>
      </c>
      <c r="AR3" t="s">
        <v>34</v>
      </c>
      <c r="AS3" t="s">
        <v>36</v>
      </c>
    </row>
    <row r="4" spans="1:51" x14ac:dyDescent="0.3">
      <c r="I4" s="3" t="s">
        <v>11</v>
      </c>
      <c r="J4" t="s">
        <v>24</v>
      </c>
      <c r="K4" t="s">
        <v>25</v>
      </c>
      <c r="L4" t="s">
        <v>30</v>
      </c>
      <c r="O4" t="s">
        <v>43</v>
      </c>
      <c r="P4" t="s">
        <v>11</v>
      </c>
      <c r="Q4" t="s">
        <v>7</v>
      </c>
      <c r="R4" t="s">
        <v>43</v>
      </c>
      <c r="U4" t="s">
        <v>6</v>
      </c>
      <c r="V4" s="21">
        <f t="shared" ref="V4:V10" si="0">IFERROR((L5-AI5)/L5,0)</f>
        <v>0</v>
      </c>
      <c r="W4" s="44">
        <f>IFERROR((L5-(AI5+C37))/L5,0)</f>
        <v>0</v>
      </c>
      <c r="Z4" s="3" t="s">
        <v>11</v>
      </c>
      <c r="AA4" t="s">
        <v>55</v>
      </c>
      <c r="AB4" t="s">
        <v>7</v>
      </c>
      <c r="AC4" t="s">
        <v>56</v>
      </c>
      <c r="AF4" s="3" t="s">
        <v>11</v>
      </c>
      <c r="AG4" t="s">
        <v>15</v>
      </c>
      <c r="AH4" t="s">
        <v>29</v>
      </c>
      <c r="AI4" t="s">
        <v>28</v>
      </c>
      <c r="AL4" t="s">
        <v>62</v>
      </c>
      <c r="AM4" s="7">
        <f>SUMIFS(otros!B:B,otros!D:D,'analitics (monthly)'!AL4,otros!F:F,'analitics (monthly)'!$B$1)</f>
        <v>0</v>
      </c>
      <c r="AP4" t="s">
        <v>6</v>
      </c>
      <c r="AQ4">
        <f>SUMIF(Income!B:B,'analitics (monthly)'!AP4,Income!D:D)</f>
        <v>0</v>
      </c>
      <c r="AR4">
        <f>SUMIF(Stock!B:B,'analitics (monthly)'!AP4,Stock!D:D)</f>
        <v>0</v>
      </c>
      <c r="AS4">
        <f>AR4-AQ4</f>
        <v>0</v>
      </c>
      <c r="AW4" s="3"/>
    </row>
    <row r="5" spans="1:51" x14ac:dyDescent="0.3">
      <c r="I5" t="s">
        <v>6</v>
      </c>
      <c r="J5" s="7">
        <f>SUMIFS(Income!F:F,Income!G:G,'analitics (monthly)'!$B$1,Income!B:B,'analitics (monthly)'!I5)</f>
        <v>0</v>
      </c>
      <c r="K5">
        <f>SUMIFS(Income!D:D,Income!G:G,'analitics (monthly)'!$B$1,Income!B:B,'analitics (monthly)'!I5)</f>
        <v>0</v>
      </c>
      <c r="L5" s="8">
        <f>IFERROR(J5/K5,0)</f>
        <v>0</v>
      </c>
      <c r="O5" s="8">
        <f t="shared" ref="O5:O11" si="1">J5</f>
        <v>0</v>
      </c>
      <c r="P5" t="s">
        <v>6</v>
      </c>
      <c r="Q5" s="8">
        <f t="shared" ref="Q5:Q11" si="2">AC5</f>
        <v>0</v>
      </c>
      <c r="R5" s="8">
        <f>O5-Q5</f>
        <v>0</v>
      </c>
      <c r="U5" t="s">
        <v>2</v>
      </c>
      <c r="V5" s="21">
        <f t="shared" si="0"/>
        <v>0</v>
      </c>
      <c r="W5" s="44">
        <f>IFERROR((L6-(AI6+C38))/L6,0)</f>
        <v>0</v>
      </c>
      <c r="Z5" t="s">
        <v>6</v>
      </c>
      <c r="AA5">
        <f t="shared" ref="AA5:AA11" si="3">K5</f>
        <v>0</v>
      </c>
      <c r="AB5" s="8">
        <f t="shared" ref="AB5:AB11" si="4">AI5</f>
        <v>0</v>
      </c>
      <c r="AC5" s="8">
        <f>AA5*AB5</f>
        <v>0</v>
      </c>
      <c r="AF5" t="s">
        <v>6</v>
      </c>
      <c r="AG5" s="7">
        <f>SUMIFS(Stock!F:F,Stock!G:G,'analitics (monthly)'!$B$1,Stock!B:B,'analitics (monthly)'!AF5)</f>
        <v>0</v>
      </c>
      <c r="AH5">
        <f>SUMIFS(Stock!D:D,Stock!G:G,'analitics (monthly)'!$B$1,Stock!B:B,'analitics (monthly)'!AF5)</f>
        <v>0</v>
      </c>
      <c r="AI5" s="8">
        <f>IFERROR(AG5/AH5,0)</f>
        <v>0</v>
      </c>
      <c r="AL5" t="s">
        <v>42</v>
      </c>
      <c r="AM5" s="7">
        <f>SUMIFS(otros!B:B,otros!C:C,'analitics (monthly)'!AL5,otros!F:F,'analitics (monthly)'!$B$1)-AM4-AM7</f>
        <v>0</v>
      </c>
      <c r="AP5" t="s">
        <v>2</v>
      </c>
      <c r="AQ5">
        <f>SUMIF(Income!B:B,'analitics (monthly)'!AP5,Income!D:D)</f>
        <v>0</v>
      </c>
      <c r="AR5">
        <f>SUMIF(Stock!B:B,'analitics (monthly)'!AP5,Stock!D:D)</f>
        <v>0</v>
      </c>
      <c r="AS5">
        <f t="shared" ref="AS5:AS10" si="5">AR5-AQ5</f>
        <v>0</v>
      </c>
      <c r="AW5" t="s">
        <v>11</v>
      </c>
      <c r="AX5" t="s">
        <v>43</v>
      </c>
      <c r="AY5" t="s">
        <v>63</v>
      </c>
    </row>
    <row r="6" spans="1:51" x14ac:dyDescent="0.3">
      <c r="I6" t="s">
        <v>2</v>
      </c>
      <c r="J6" s="7">
        <f>SUMIFS(Income!F:F,Income!G:G,'analitics (monthly)'!$B$1,Income!B:B,'analitics (monthly)'!I6)</f>
        <v>0</v>
      </c>
      <c r="K6">
        <f>SUMIFS(Income!D:D,Income!G:G,'analitics (monthly)'!$B$1,Income!B:B,'analitics (monthly)'!I6)</f>
        <v>0</v>
      </c>
      <c r="L6" s="8">
        <f t="shared" ref="L6:L11" si="6">IFERROR(J6/K6,0)</f>
        <v>0</v>
      </c>
      <c r="O6" s="8">
        <f t="shared" si="1"/>
        <v>0</v>
      </c>
      <c r="P6" t="s">
        <v>2</v>
      </c>
      <c r="Q6" s="8">
        <f t="shared" si="2"/>
        <v>0</v>
      </c>
      <c r="R6" s="8">
        <f>O6-Q6</f>
        <v>0</v>
      </c>
      <c r="U6" t="s">
        <v>1</v>
      </c>
      <c r="V6" s="21">
        <f t="shared" si="0"/>
        <v>0</v>
      </c>
      <c r="W6" s="44">
        <f>IFERROR((L7-(AI7+C39))/L7,0)</f>
        <v>0</v>
      </c>
      <c r="Z6" t="s">
        <v>2</v>
      </c>
      <c r="AA6">
        <f t="shared" si="3"/>
        <v>0</v>
      </c>
      <c r="AB6" s="8">
        <f t="shared" si="4"/>
        <v>0</v>
      </c>
      <c r="AC6" s="8">
        <f t="shared" ref="AC6:AC11" si="7">AA6*AB6</f>
        <v>0</v>
      </c>
      <c r="AF6" t="s">
        <v>2</v>
      </c>
      <c r="AG6" s="7">
        <f>SUMIFS(Stock!F:F,Stock!G:G,'analitics (monthly)'!$B$1,Stock!B:B,'analitics (monthly)'!AF6)</f>
        <v>0</v>
      </c>
      <c r="AH6">
        <f>SUMIFS(Stock!D:D,Stock!G:G,'analitics (monthly)'!$B$1,Stock!B:B,'analitics (monthly)'!AF6)</f>
        <v>0</v>
      </c>
      <c r="AI6" s="8">
        <f t="shared" ref="AI6:AI11" si="8">IFERROR(AG6/AH6,0)</f>
        <v>0</v>
      </c>
      <c r="AL6" t="s">
        <v>43</v>
      </c>
      <c r="AM6" s="7">
        <f>SUMIFS(otros!B:B,otros!C:C,'analitics (monthly)'!AL6,otros!F:F,'analitics (monthly)'!$B$1)</f>
        <v>0</v>
      </c>
      <c r="AP6" t="s">
        <v>1</v>
      </c>
      <c r="AQ6">
        <f>SUMIF(Income!B:B,'analitics (monthly)'!AP6,Income!D:D)</f>
        <v>0</v>
      </c>
      <c r="AR6">
        <f>SUMIF(Stock!B:B,'analitics (monthly)'!AP6,Stock!D:D)</f>
        <v>0</v>
      </c>
      <c r="AS6">
        <f t="shared" si="5"/>
        <v>0</v>
      </c>
      <c r="AW6" t="s">
        <v>6</v>
      </c>
      <c r="AX6" s="8">
        <f t="shared" ref="AX6:AX12" si="9">J5</f>
        <v>0</v>
      </c>
      <c r="AY6" s="44" t="e">
        <f t="shared" ref="AY6:AY12" si="10">AX6/$AX$13</f>
        <v>#DIV/0!</v>
      </c>
    </row>
    <row r="7" spans="1:51" x14ac:dyDescent="0.3">
      <c r="A7" t="s">
        <v>26</v>
      </c>
      <c r="B7" t="s">
        <v>26</v>
      </c>
      <c r="I7" t="s">
        <v>1</v>
      </c>
      <c r="J7" s="7">
        <f>SUMIFS(Income!F:F,Income!G:G,'analitics (monthly)'!$B$1,Income!B:B,'analitics (monthly)'!I7)</f>
        <v>0</v>
      </c>
      <c r="K7">
        <f>SUMIFS(Income!D:D,Income!G:G,'analitics (monthly)'!$B$1,Income!B:B,'analitics (monthly)'!I7)</f>
        <v>0</v>
      </c>
      <c r="L7" s="8">
        <f t="shared" si="6"/>
        <v>0</v>
      </c>
      <c r="O7" s="8">
        <f t="shared" si="1"/>
        <v>0</v>
      </c>
      <c r="P7" t="s">
        <v>1</v>
      </c>
      <c r="Q7" s="8">
        <f t="shared" si="2"/>
        <v>0</v>
      </c>
      <c r="R7" s="8">
        <f>O7-Q7</f>
        <v>0</v>
      </c>
      <c r="U7" t="s">
        <v>8</v>
      </c>
      <c r="V7" s="21">
        <f t="shared" si="0"/>
        <v>0</v>
      </c>
      <c r="W7" s="44">
        <f>IFERROR((L8-(AI8+C40))/L8,0)</f>
        <v>0</v>
      </c>
      <c r="Z7" t="s">
        <v>1</v>
      </c>
      <c r="AA7">
        <f t="shared" si="3"/>
        <v>0</v>
      </c>
      <c r="AB7" s="8">
        <f t="shared" si="4"/>
        <v>0</v>
      </c>
      <c r="AC7" s="8">
        <f t="shared" si="7"/>
        <v>0</v>
      </c>
      <c r="AF7" t="s">
        <v>1</v>
      </c>
      <c r="AG7" s="7">
        <f>SUMIFS(Stock!F:F,Stock!G:G,'analitics (monthly)'!$B$1,Stock!B:B,'analitics (monthly)'!AF7)</f>
        <v>0</v>
      </c>
      <c r="AH7">
        <f>SUMIFS(Stock!D:D,Stock!G:G,'analitics (monthly)'!$B$1,Stock!B:B,'analitics (monthly)'!AF7)</f>
        <v>0</v>
      </c>
      <c r="AI7" s="8">
        <f t="shared" si="8"/>
        <v>0</v>
      </c>
      <c r="AL7" t="s">
        <v>82</v>
      </c>
      <c r="AM7" s="7">
        <f>SUMIFS(otros!B:B,otros!D:D,"Retiro",otros!F:F,'analitics (monthly)'!$B$1)</f>
        <v>0</v>
      </c>
      <c r="AP7" t="s">
        <v>8</v>
      </c>
      <c r="AQ7">
        <f>SUMIF(Income!B:B,'analitics (monthly)'!AP7,Income!D:D)</f>
        <v>0</v>
      </c>
      <c r="AR7">
        <f>SUMIF(Stock!B:B,'analitics (monthly)'!AP7,Stock!D:D)</f>
        <v>0</v>
      </c>
      <c r="AS7">
        <f t="shared" si="5"/>
        <v>0</v>
      </c>
      <c r="AW7" t="s">
        <v>2</v>
      </c>
      <c r="AX7" s="8">
        <f t="shared" si="9"/>
        <v>0</v>
      </c>
      <c r="AY7" s="44" t="e">
        <f t="shared" si="10"/>
        <v>#DIV/0!</v>
      </c>
    </row>
    <row r="8" spans="1:51" x14ac:dyDescent="0.3">
      <c r="A8" t="s">
        <v>18</v>
      </c>
      <c r="B8" s="19">
        <f>SUMIFS(Income!F:F,Income!G:G,'analitics (monthly)'!$B$1,Income!E:E,'analitics (monthly)'!A8)</f>
        <v>0</v>
      </c>
      <c r="I8" t="s">
        <v>8</v>
      </c>
      <c r="J8" s="7">
        <f>SUMIFS(Income!F:F,Income!G:G,'analitics (monthly)'!$B$1,Income!B:B,'analitics (monthly)'!I8)</f>
        <v>0</v>
      </c>
      <c r="K8">
        <f>SUMIFS(Income!D:D,Income!G:G,'analitics (monthly)'!$B$1,Income!B:B,'analitics (monthly)'!I8)</f>
        <v>0</v>
      </c>
      <c r="L8" s="8">
        <f t="shared" si="6"/>
        <v>0</v>
      </c>
      <c r="O8" s="8">
        <f t="shared" si="1"/>
        <v>0</v>
      </c>
      <c r="P8" t="s">
        <v>8</v>
      </c>
      <c r="Q8" s="8">
        <f t="shared" si="2"/>
        <v>0</v>
      </c>
      <c r="R8" s="8">
        <f>O8-Q8</f>
        <v>0</v>
      </c>
      <c r="U8" t="s">
        <v>108</v>
      </c>
      <c r="V8" s="21">
        <f t="shared" si="0"/>
        <v>0</v>
      </c>
      <c r="W8" s="44">
        <f>IFERROR((L9-(AI9+C48))/L9,0)</f>
        <v>0</v>
      </c>
      <c r="Z8" t="s">
        <v>8</v>
      </c>
      <c r="AA8">
        <f t="shared" si="3"/>
        <v>0</v>
      </c>
      <c r="AB8" s="8">
        <f t="shared" si="4"/>
        <v>0</v>
      </c>
      <c r="AC8" s="8">
        <f t="shared" si="7"/>
        <v>0</v>
      </c>
      <c r="AF8" t="s">
        <v>8</v>
      </c>
      <c r="AG8" s="7">
        <f>SUMIFS(Stock!F:F,Stock!G:G,'analitics (monthly)'!$B$1,Stock!B:B,'analitics (monthly)'!AF8)</f>
        <v>0</v>
      </c>
      <c r="AH8">
        <f>SUMIFS(Stock!D:D,Stock!G:G,'analitics (monthly)'!$B$1,Stock!B:B,'analitics (monthly)'!AF8)</f>
        <v>0</v>
      </c>
      <c r="AI8" s="8">
        <f t="shared" si="8"/>
        <v>0</v>
      </c>
      <c r="AP8" t="s">
        <v>108</v>
      </c>
      <c r="AQ8">
        <f>SUMIF(Income!B:B,'analitics (monthly)'!AP8,Income!D:D)</f>
        <v>0</v>
      </c>
      <c r="AR8">
        <f>SUMIF(Stock!B:B,'analitics (monthly)'!AP8,Stock!D:D)</f>
        <v>0</v>
      </c>
      <c r="AS8">
        <f t="shared" si="5"/>
        <v>0</v>
      </c>
      <c r="AW8" t="s">
        <v>1</v>
      </c>
      <c r="AX8" s="8">
        <f t="shared" si="9"/>
        <v>0</v>
      </c>
      <c r="AY8" s="44" t="e">
        <f t="shared" si="10"/>
        <v>#DIV/0!</v>
      </c>
    </row>
    <row r="9" spans="1:51" x14ac:dyDescent="0.3">
      <c r="A9" t="s">
        <v>17</v>
      </c>
      <c r="B9" s="19">
        <f>SUMIFS(Income!F:F,Income!G:G,'analitics (monthly)'!$B$1,Income!E:E,'analitics (monthly)'!A9)</f>
        <v>0</v>
      </c>
      <c r="I9" t="s">
        <v>108</v>
      </c>
      <c r="J9" s="7">
        <f>SUMIFS(Income!F:F,Income!G:G,'analitics (monthly)'!$B$1,Income!B:B,'analitics (monthly)'!I9)</f>
        <v>0</v>
      </c>
      <c r="K9">
        <f>SUMIFS(Income!D:D,Income!G:G,'analitics (monthly)'!$B$1,Income!B:B,'analitics (monthly)'!I9)</f>
        <v>0</v>
      </c>
      <c r="L9" s="8">
        <f t="shared" si="6"/>
        <v>0</v>
      </c>
      <c r="O9" s="8">
        <f t="shared" si="1"/>
        <v>0</v>
      </c>
      <c r="P9" t="s">
        <v>108</v>
      </c>
      <c r="Q9" s="8">
        <f t="shared" si="2"/>
        <v>0</v>
      </c>
      <c r="R9" s="8">
        <f t="shared" ref="R9:R11" si="11">O9-Q9</f>
        <v>0</v>
      </c>
      <c r="U9" t="s">
        <v>109</v>
      </c>
      <c r="V9" s="21">
        <f t="shared" si="0"/>
        <v>0</v>
      </c>
      <c r="W9" s="44">
        <f>IFERROR((L10-(AI10+C49))/L10,0)</f>
        <v>0</v>
      </c>
      <c r="Z9" t="s">
        <v>108</v>
      </c>
      <c r="AA9">
        <f t="shared" si="3"/>
        <v>0</v>
      </c>
      <c r="AB9" s="8">
        <f t="shared" si="4"/>
        <v>0</v>
      </c>
      <c r="AC9" s="8">
        <f t="shared" si="7"/>
        <v>0</v>
      </c>
      <c r="AF9" t="s">
        <v>108</v>
      </c>
      <c r="AG9" s="7">
        <f>SUMIFS(Stock!F:F,Stock!G:G,'analitics (monthly)'!$B$1,Stock!B:B,'analitics (monthly)'!AF9)</f>
        <v>0</v>
      </c>
      <c r="AH9">
        <f>SUMIFS(Stock!D:D,Stock!G:G,'analitics (monthly)'!$B$1,Stock!B:B,'analitics (monthly)'!AF9)</f>
        <v>0</v>
      </c>
      <c r="AI9" s="8">
        <f t="shared" si="8"/>
        <v>0</v>
      </c>
      <c r="AP9" t="s">
        <v>109</v>
      </c>
      <c r="AQ9">
        <f>SUMIF(Income!B:B,'analitics (monthly)'!AP9,Income!D:D)</f>
        <v>0</v>
      </c>
      <c r="AR9">
        <f>SUMIF(Stock!B:B,'analitics (monthly)'!AP9,Stock!D:D)</f>
        <v>0</v>
      </c>
      <c r="AS9">
        <f t="shared" si="5"/>
        <v>0</v>
      </c>
      <c r="AW9" t="s">
        <v>8</v>
      </c>
      <c r="AX9" s="8">
        <f t="shared" si="9"/>
        <v>0</v>
      </c>
      <c r="AY9" s="44" t="e">
        <f t="shared" si="10"/>
        <v>#DIV/0!</v>
      </c>
    </row>
    <row r="10" spans="1:51" x14ac:dyDescent="0.3">
      <c r="I10" t="s">
        <v>109</v>
      </c>
      <c r="J10" s="7">
        <f>SUMIFS(Income!F:F,Income!G:G,'analitics (monthly)'!$B$1,Income!B:B,'analitics (monthly)'!I10)</f>
        <v>0</v>
      </c>
      <c r="K10">
        <f>SUMIFS(Income!D:D,Income!G:G,'analitics (monthly)'!$B$1,Income!B:B,'analitics (monthly)'!I10)</f>
        <v>0</v>
      </c>
      <c r="L10" s="8">
        <f t="shared" si="6"/>
        <v>0</v>
      </c>
      <c r="O10" s="8">
        <f t="shared" si="1"/>
        <v>0</v>
      </c>
      <c r="P10" t="s">
        <v>109</v>
      </c>
      <c r="Q10" s="8">
        <f t="shared" si="2"/>
        <v>0</v>
      </c>
      <c r="R10" s="8">
        <f t="shared" si="11"/>
        <v>0</v>
      </c>
      <c r="U10" t="s">
        <v>110</v>
      </c>
      <c r="V10" s="21">
        <f t="shared" si="0"/>
        <v>0</v>
      </c>
      <c r="W10" s="44">
        <f>IFERROR((L11-(AI11+C50))/L11,0)</f>
        <v>0</v>
      </c>
      <c r="Z10" t="s">
        <v>109</v>
      </c>
      <c r="AA10">
        <f t="shared" si="3"/>
        <v>0</v>
      </c>
      <c r="AB10" s="8">
        <f t="shared" si="4"/>
        <v>0</v>
      </c>
      <c r="AC10" s="8">
        <f t="shared" si="7"/>
        <v>0</v>
      </c>
      <c r="AF10" t="s">
        <v>109</v>
      </c>
      <c r="AG10" s="7">
        <f>SUMIFS(Stock!F:F,Stock!G:G,'analitics (monthly)'!$B$1,Stock!B:B,'analitics (monthly)'!AF10)</f>
        <v>0</v>
      </c>
      <c r="AH10">
        <f>SUMIFS(Stock!D:D,Stock!G:G,'analitics (monthly)'!$B$1,Stock!B:B,'analitics (monthly)'!AF10)</f>
        <v>0</v>
      </c>
      <c r="AI10" s="8">
        <f t="shared" si="8"/>
        <v>0</v>
      </c>
      <c r="AP10" t="s">
        <v>110</v>
      </c>
      <c r="AQ10">
        <f>SUMIF(Income!B:B,'analitics (monthly)'!AP10,Income!D:D)</f>
        <v>0</v>
      </c>
      <c r="AR10">
        <f>SUMIF(Stock!B:B,'analitics (monthly)'!AP10,Stock!D:D)</f>
        <v>0</v>
      </c>
      <c r="AS10">
        <f t="shared" si="5"/>
        <v>0</v>
      </c>
      <c r="AW10" t="s">
        <v>108</v>
      </c>
      <c r="AX10" s="8">
        <f t="shared" si="9"/>
        <v>0</v>
      </c>
      <c r="AY10" s="44" t="e">
        <f t="shared" si="10"/>
        <v>#DIV/0!</v>
      </c>
    </row>
    <row r="11" spans="1:51" x14ac:dyDescent="0.3">
      <c r="I11" t="s">
        <v>110</v>
      </c>
      <c r="J11" s="7">
        <f>SUMIFS(Income!F:F,Income!G:G,'analitics (monthly)'!$B$1,Income!B:B,'analitics (monthly)'!I11)</f>
        <v>0</v>
      </c>
      <c r="K11">
        <f>SUMIFS(Income!D:D,Income!G:G,'analitics (monthly)'!$B$1,Income!B:B,'analitics (monthly)'!I11)</f>
        <v>0</v>
      </c>
      <c r="L11" s="8">
        <f t="shared" si="6"/>
        <v>0</v>
      </c>
      <c r="O11" s="8">
        <f t="shared" si="1"/>
        <v>0</v>
      </c>
      <c r="P11" t="s">
        <v>110</v>
      </c>
      <c r="Q11" s="8">
        <f t="shared" si="2"/>
        <v>0</v>
      </c>
      <c r="R11" s="8">
        <f t="shared" si="11"/>
        <v>0</v>
      </c>
      <c r="U11" t="s">
        <v>32</v>
      </c>
      <c r="V11" s="21" t="e">
        <f>AVERAGEIF(V4:V7,"&lt;&gt;0",V4:V7)</f>
        <v>#DIV/0!</v>
      </c>
      <c r="W11" s="21" t="e">
        <f>AVERAGEIF(W4:W7,"&lt;&gt;0",W4:W7)</f>
        <v>#DIV/0!</v>
      </c>
      <c r="Z11" t="s">
        <v>110</v>
      </c>
      <c r="AA11">
        <f t="shared" si="3"/>
        <v>0</v>
      </c>
      <c r="AB11" s="8">
        <f t="shared" si="4"/>
        <v>0</v>
      </c>
      <c r="AC11" s="8">
        <f t="shared" si="7"/>
        <v>0</v>
      </c>
      <c r="AF11" t="s">
        <v>110</v>
      </c>
      <c r="AG11" s="7">
        <f>SUMIFS(Stock!F:F,Stock!G:G,'analitics (monthly)'!$B$1,Stock!B:B,'analitics (monthly)'!AF11)</f>
        <v>0</v>
      </c>
      <c r="AH11">
        <f>SUMIFS(Stock!D:D,Stock!G:G,'analitics (monthly)'!$B$1,Stock!B:B,'analitics (monthly)'!AF11)</f>
        <v>0</v>
      </c>
      <c r="AI11" s="8">
        <f t="shared" si="8"/>
        <v>0</v>
      </c>
      <c r="AW11" t="s">
        <v>109</v>
      </c>
      <c r="AX11" s="8">
        <f t="shared" si="9"/>
        <v>0</v>
      </c>
      <c r="AY11" s="44" t="e">
        <f t="shared" si="10"/>
        <v>#DIV/0!</v>
      </c>
    </row>
    <row r="12" spans="1:51" x14ac:dyDescent="0.3">
      <c r="A12" t="s">
        <v>26</v>
      </c>
      <c r="AW12" t="s">
        <v>110</v>
      </c>
      <c r="AX12" s="8">
        <f t="shared" si="9"/>
        <v>0</v>
      </c>
      <c r="AY12" s="44" t="e">
        <f t="shared" si="10"/>
        <v>#DIV/0!</v>
      </c>
    </row>
    <row r="13" spans="1:51" x14ac:dyDescent="0.3">
      <c r="A13" t="s">
        <v>18</v>
      </c>
      <c r="B13" s="19">
        <f>SUMIFS(Stock!F:F,Stock!G:G,'analitics (monthly)'!$B$1,Stock!E:E,'analitics (monthly)'!A13)</f>
        <v>0</v>
      </c>
      <c r="AW13" t="s">
        <v>23</v>
      </c>
      <c r="AX13" s="8">
        <f>SUM(AX6:AX12)</f>
        <v>0</v>
      </c>
    </row>
    <row r="14" spans="1:51" x14ac:dyDescent="0.3">
      <c r="A14" t="s">
        <v>17</v>
      </c>
      <c r="B14" s="19">
        <f>SUMIFS(Stock!F:F,Stock!G:G,'analitics (monthly)'!$B$1,Stock!E:E,'analitics (monthly)'!A14)</f>
        <v>0</v>
      </c>
    </row>
    <row r="15" spans="1:51" x14ac:dyDescent="0.3">
      <c r="E15" s="8"/>
    </row>
    <row r="17" spans="1:5" x14ac:dyDescent="0.3">
      <c r="A17" t="s">
        <v>26</v>
      </c>
      <c r="B17" t="s">
        <v>50</v>
      </c>
      <c r="C17" t="s">
        <v>24</v>
      </c>
      <c r="D17" t="s">
        <v>62</v>
      </c>
    </row>
    <row r="18" spans="1:5" x14ac:dyDescent="0.3">
      <c r="A18" t="s">
        <v>18</v>
      </c>
      <c r="B18" s="7">
        <f>SUMIFS(otros!B:B,otros!E:E,'analitics (monthly)'!$A$18,otros!C:C,'analitics (monthly)'!B17,otros!D:D,"&lt;&gt;Bencina",otros!F:F,'analitics (monthly)'!$B$1)</f>
        <v>0</v>
      </c>
      <c r="C18" s="7">
        <f>SUMIFS(otros!B:B,otros!E:E,'analitics (monthly)'!A18,otros!C:C,'analitics (monthly)'!C17,otros!F:F,'analitics (monthly)'!$B$1)</f>
        <v>0</v>
      </c>
      <c r="D18" s="7">
        <f>SUMIFS(otros!B:B,otros!E:E,'analitics (monthly)'!A18,otros!D:D,"Bencina",otros!F:F,'analitics (monthly)'!$B$1)</f>
        <v>0</v>
      </c>
      <c r="E18" s="8">
        <f>C18-B18-D18</f>
        <v>0</v>
      </c>
    </row>
    <row r="19" spans="1:5" x14ac:dyDescent="0.3">
      <c r="A19" t="s">
        <v>17</v>
      </c>
      <c r="B19" s="7">
        <f>SUMIFS(otros!B:B,otros!E:E,'analitics (monthly)'!$A$19,otros!C:C,'analitics (monthly)'!B17,otros!D:D,"&lt;&gt;Bencina",otros!F:F,'analitics (monthly)'!$B$1)</f>
        <v>0</v>
      </c>
      <c r="C19" s="7">
        <f>SUMIFS(otros!B:B,otros!E:E,'analitics (monthly)'!A19,otros!C:C,'analitics (monthly)'!C17,otros!F:F,'analitics (monthly)'!$B$1)</f>
        <v>0</v>
      </c>
      <c r="D19" s="7">
        <f>SUMIFS(otros!B:B,otros!E:E,'analitics (monthly)'!A19,otros!D:D,"Bencina",otros!F:F,'analitics (monthly)'!$B$1)</f>
        <v>0</v>
      </c>
      <c r="E19" s="8">
        <f>C19-B19-D19</f>
        <v>0</v>
      </c>
    </row>
    <row r="24" spans="1:5" x14ac:dyDescent="0.3">
      <c r="A24" t="s">
        <v>92</v>
      </c>
      <c r="B24">
        <v>1</v>
      </c>
    </row>
    <row r="25" spans="1:5" x14ac:dyDescent="0.3">
      <c r="A25" t="s">
        <v>93</v>
      </c>
      <c r="B25">
        <v>2</v>
      </c>
    </row>
    <row r="26" spans="1:5" x14ac:dyDescent="0.3">
      <c r="A26" t="s">
        <v>94</v>
      </c>
      <c r="B26">
        <v>3</v>
      </c>
    </row>
    <row r="27" spans="1:5" x14ac:dyDescent="0.3">
      <c r="A27" t="s">
        <v>95</v>
      </c>
      <c r="B27">
        <v>4</v>
      </c>
    </row>
    <row r="28" spans="1:5" x14ac:dyDescent="0.3">
      <c r="A28" t="s">
        <v>96</v>
      </c>
      <c r="B28">
        <v>5</v>
      </c>
    </row>
    <row r="29" spans="1:5" x14ac:dyDescent="0.3">
      <c r="A29" t="s">
        <v>97</v>
      </c>
      <c r="B29">
        <v>6</v>
      </c>
    </row>
    <row r="30" spans="1:5" x14ac:dyDescent="0.3">
      <c r="A30" t="s">
        <v>98</v>
      </c>
      <c r="B30">
        <v>7</v>
      </c>
    </row>
    <row r="31" spans="1:5" x14ac:dyDescent="0.3">
      <c r="A31" t="s">
        <v>99</v>
      </c>
      <c r="B31">
        <v>8</v>
      </c>
    </row>
    <row r="32" spans="1:5" x14ac:dyDescent="0.3">
      <c r="A32" t="s">
        <v>100</v>
      </c>
      <c r="B32">
        <v>9</v>
      </c>
    </row>
    <row r="33" spans="1:3" x14ac:dyDescent="0.3">
      <c r="A33" t="s">
        <v>101</v>
      </c>
      <c r="B33">
        <v>10</v>
      </c>
    </row>
    <row r="34" spans="1:3" x14ac:dyDescent="0.3">
      <c r="A34" t="s">
        <v>102</v>
      </c>
      <c r="B34">
        <v>11</v>
      </c>
    </row>
    <row r="36" spans="1:3" x14ac:dyDescent="0.3">
      <c r="C36" s="7"/>
    </row>
    <row r="37" spans="1:3" x14ac:dyDescent="0.3">
      <c r="C37" s="7"/>
    </row>
    <row r="38" spans="1:3" x14ac:dyDescent="0.3">
      <c r="A38" t="s">
        <v>103</v>
      </c>
      <c r="B38">
        <v>12</v>
      </c>
      <c r="C38" s="7"/>
    </row>
    <row r="39" spans="1:3" x14ac:dyDescent="0.3">
      <c r="C39" s="7"/>
    </row>
    <row r="40" spans="1:3" x14ac:dyDescent="0.3">
      <c r="C40" s="7"/>
    </row>
    <row r="48" spans="1:3" x14ac:dyDescent="0.3">
      <c r="C48" s="19"/>
    </row>
  </sheetData>
  <mergeCells count="8">
    <mergeCell ref="O1:R2"/>
    <mergeCell ref="I1:L2"/>
    <mergeCell ref="AW1:AY2"/>
    <mergeCell ref="AP1:AS2"/>
    <mergeCell ref="AL1:AM2"/>
    <mergeCell ref="AF1:AI2"/>
    <mergeCell ref="Z1:AC2"/>
    <mergeCell ref="U1:W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F37"/>
  <sheetViews>
    <sheetView workbookViewId="0">
      <selection activeCell="A3" sqref="A3:F3"/>
    </sheetView>
  </sheetViews>
  <sheetFormatPr baseColWidth="10" defaultColWidth="11.44140625" defaultRowHeight="14.4" x14ac:dyDescent="0.3"/>
  <cols>
    <col min="4" max="4" width="26.109375" bestFit="1" customWidth="1"/>
  </cols>
  <sheetData>
    <row r="1" spans="1:6" x14ac:dyDescent="0.3">
      <c r="A1" s="3" t="s">
        <v>0</v>
      </c>
      <c r="B1" s="5" t="s">
        <v>10</v>
      </c>
      <c r="C1" s="19" t="s">
        <v>40</v>
      </c>
      <c r="D1" s="5" t="s">
        <v>41</v>
      </c>
      <c r="E1" s="3" t="s">
        <v>26</v>
      </c>
    </row>
    <row r="2" spans="1:6" x14ac:dyDescent="0.3">
      <c r="A2" s="3"/>
      <c r="B2" s="5"/>
      <c r="C2" s="19"/>
      <c r="D2" s="5"/>
      <c r="E2" s="3"/>
    </row>
    <row r="3" spans="1:6" x14ac:dyDescent="0.3">
      <c r="A3" s="1">
        <v>44249</v>
      </c>
      <c r="B3" s="2">
        <v>18000</v>
      </c>
      <c r="C3" s="7" t="s">
        <v>39</v>
      </c>
      <c r="D3" s="4" t="s">
        <v>158</v>
      </c>
      <c r="E3" t="s">
        <v>17</v>
      </c>
      <c r="F3">
        <f>IF(A3&lt;&gt;"",MONTH(A3),"")</f>
        <v>2</v>
      </c>
    </row>
    <row r="4" spans="1:6" x14ac:dyDescent="0.3">
      <c r="A4" s="1">
        <v>44232</v>
      </c>
      <c r="B4" s="2">
        <v>17000</v>
      </c>
      <c r="C4" s="7" t="s">
        <v>39</v>
      </c>
      <c r="D4" s="4" t="s">
        <v>155</v>
      </c>
      <c r="E4" t="s">
        <v>17</v>
      </c>
      <c r="F4">
        <f>IF(A4&lt;&gt;"",MONTH(A4),"")</f>
        <v>2</v>
      </c>
    </row>
    <row r="5" spans="1:6" x14ac:dyDescent="0.3">
      <c r="A5" s="1">
        <v>44232</v>
      </c>
      <c r="B5" s="2">
        <v>20600</v>
      </c>
      <c r="C5" s="7" t="s">
        <v>39</v>
      </c>
      <c r="D5" s="4" t="s">
        <v>156</v>
      </c>
      <c r="E5" t="s">
        <v>17</v>
      </c>
      <c r="F5">
        <f t="shared" ref="F5" si="0">IF(A5&lt;&gt;"",MONTH(A5),"")</f>
        <v>2</v>
      </c>
    </row>
    <row r="6" spans="1:6" x14ac:dyDescent="0.3">
      <c r="A6" s="1"/>
      <c r="B6" s="2"/>
      <c r="C6" s="7"/>
      <c r="D6" s="4"/>
    </row>
    <row r="7" spans="1:6" x14ac:dyDescent="0.3">
      <c r="A7" s="1"/>
      <c r="B7" s="2"/>
      <c r="C7" s="7"/>
      <c r="D7" s="4"/>
    </row>
    <row r="8" spans="1:6" x14ac:dyDescent="0.3">
      <c r="A8" s="1"/>
      <c r="B8" s="2"/>
      <c r="C8" s="7"/>
      <c r="D8" s="4"/>
    </row>
    <row r="9" spans="1:6" x14ac:dyDescent="0.3">
      <c r="A9" s="1"/>
      <c r="B9" s="2"/>
      <c r="C9" s="7"/>
      <c r="D9" s="4"/>
    </row>
    <row r="10" spans="1:6" x14ac:dyDescent="0.3">
      <c r="A10" s="1"/>
      <c r="B10" s="2"/>
      <c r="C10" s="7"/>
      <c r="D10" s="4"/>
    </row>
    <row r="11" spans="1:6" x14ac:dyDescent="0.3">
      <c r="A11" s="1"/>
      <c r="B11" s="79"/>
      <c r="C11" s="7"/>
      <c r="D11" s="4"/>
    </row>
    <row r="12" spans="1:6" x14ac:dyDescent="0.3">
      <c r="A12" s="1"/>
      <c r="B12" s="79"/>
      <c r="C12" s="7"/>
      <c r="D12" s="4"/>
    </row>
    <row r="13" spans="1:6" x14ac:dyDescent="0.3">
      <c r="A13" s="1"/>
      <c r="B13" s="2"/>
      <c r="C13" s="7"/>
      <c r="D13" s="4"/>
    </row>
    <row r="14" spans="1:6" x14ac:dyDescent="0.3">
      <c r="A14" s="1"/>
      <c r="B14" s="79"/>
      <c r="C14" s="7"/>
      <c r="D14" s="4"/>
    </row>
    <row r="15" spans="1:6" x14ac:dyDescent="0.3">
      <c r="A15" s="1"/>
      <c r="B15" s="79"/>
      <c r="C15" s="7"/>
      <c r="D15" s="4"/>
    </row>
    <row r="16" spans="1:6" x14ac:dyDescent="0.3">
      <c r="A16" s="1"/>
      <c r="B16" s="2"/>
      <c r="C16" s="7"/>
      <c r="D16" s="4"/>
    </row>
    <row r="17" spans="1:4" x14ac:dyDescent="0.3">
      <c r="A17" s="1"/>
      <c r="B17" s="79"/>
      <c r="C17" s="7"/>
      <c r="D17" s="4"/>
    </row>
    <row r="18" spans="1:4" x14ac:dyDescent="0.3">
      <c r="A18" s="1"/>
      <c r="B18" s="2"/>
      <c r="C18" s="7"/>
      <c r="D18" s="4"/>
    </row>
    <row r="19" spans="1:4" x14ac:dyDescent="0.3">
      <c r="A19" s="1"/>
      <c r="B19" s="79"/>
      <c r="C19" s="7"/>
      <c r="D19" s="4"/>
    </row>
    <row r="20" spans="1:4" x14ac:dyDescent="0.3">
      <c r="A20" s="1"/>
      <c r="B20" s="2"/>
      <c r="C20" s="7"/>
      <c r="D20" s="4"/>
    </row>
    <row r="21" spans="1:4" x14ac:dyDescent="0.3">
      <c r="A21" s="1"/>
      <c r="B21" s="2"/>
      <c r="C21" s="7"/>
      <c r="D21" s="4"/>
    </row>
    <row r="22" spans="1:4" x14ac:dyDescent="0.3">
      <c r="A22" s="1"/>
      <c r="B22" s="79"/>
      <c r="C22" s="7"/>
      <c r="D22" s="4"/>
    </row>
    <row r="23" spans="1:4" x14ac:dyDescent="0.3">
      <c r="A23" s="1"/>
      <c r="B23" s="2"/>
      <c r="C23" s="7"/>
      <c r="D23" s="4"/>
    </row>
    <row r="24" spans="1:4" x14ac:dyDescent="0.3">
      <c r="A24" s="1"/>
      <c r="B24" s="2"/>
      <c r="C24" s="7"/>
      <c r="D24" s="4"/>
    </row>
    <row r="25" spans="1:4" x14ac:dyDescent="0.3">
      <c r="A25" s="1"/>
      <c r="B25" s="2"/>
      <c r="C25" s="7"/>
      <c r="D25" s="4"/>
    </row>
    <row r="26" spans="1:4" x14ac:dyDescent="0.3">
      <c r="A26" s="1"/>
      <c r="B26" s="2"/>
      <c r="C26" s="7"/>
      <c r="D26" s="4"/>
    </row>
    <row r="27" spans="1:4" x14ac:dyDescent="0.3">
      <c r="A27" s="1"/>
      <c r="B27" s="2"/>
      <c r="C27" s="7"/>
      <c r="D27" s="4"/>
    </row>
    <row r="28" spans="1:4" x14ac:dyDescent="0.3">
      <c r="A28" s="1"/>
      <c r="B28" s="2"/>
      <c r="C28" s="7"/>
      <c r="D28" s="4"/>
    </row>
    <row r="29" spans="1:4" x14ac:dyDescent="0.3">
      <c r="A29" s="1"/>
      <c r="B29" s="2"/>
      <c r="C29" s="7"/>
      <c r="D29" s="4"/>
    </row>
    <row r="30" spans="1:4" x14ac:dyDescent="0.3">
      <c r="A30" s="1"/>
      <c r="B30" s="2"/>
      <c r="C30" s="7"/>
      <c r="D30" s="4"/>
    </row>
    <row r="31" spans="1:4" x14ac:dyDescent="0.3">
      <c r="A31" s="1"/>
      <c r="B31" s="2"/>
      <c r="C31" s="7"/>
      <c r="D31" s="4"/>
    </row>
    <row r="32" spans="1:4" x14ac:dyDescent="0.3">
      <c r="A32" s="1"/>
      <c r="B32" s="2"/>
      <c r="C32" s="7"/>
      <c r="D32" s="4"/>
    </row>
    <row r="33" spans="1:4" x14ac:dyDescent="0.3">
      <c r="A33" s="1"/>
      <c r="B33" s="2"/>
      <c r="C33" s="7"/>
      <c r="D33" s="4"/>
    </row>
    <row r="34" spans="1:4" x14ac:dyDescent="0.3">
      <c r="A34" s="1"/>
      <c r="B34" s="2"/>
      <c r="C34" s="7"/>
      <c r="D34" s="4"/>
    </row>
    <row r="35" spans="1:4" x14ac:dyDescent="0.3">
      <c r="A35" s="1"/>
      <c r="B35" s="2"/>
      <c r="C35" s="7"/>
      <c r="D35" s="4"/>
    </row>
    <row r="36" spans="1:4" x14ac:dyDescent="0.3">
      <c r="A36" s="1"/>
      <c r="B36" s="2"/>
      <c r="C36" s="7"/>
      <c r="D36" s="4"/>
    </row>
    <row r="37" spans="1:4" x14ac:dyDescent="0.3">
      <c r="A37" s="1"/>
      <c r="B37" s="2"/>
      <c r="C37" s="7"/>
      <c r="D37" s="4"/>
    </row>
  </sheetData>
  <autoFilter ref="A1:E37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otros_hide">
                <anchor moveWithCells="1" sizeWithCells="1">
                  <from>
                    <xdr:col>6</xdr:col>
                    <xdr:colOff>464820</xdr:colOff>
                    <xdr:row>0</xdr:row>
                    <xdr:rowOff>0</xdr:rowOff>
                  </from>
                  <to>
                    <xdr:col>8</xdr:col>
                    <xdr:colOff>175260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datatypes!$E$2:$E$3</xm:f>
          </x14:formula1>
          <xm:sqref>E3:E35</xm:sqref>
        </x14:dataValidation>
        <x14:dataValidation type="list" allowBlank="1" showInputMessage="1" showErrorMessage="1">
          <x14:formula1>
            <xm:f>datatypes!$H$2:$H$3</xm:f>
          </x14:formula1>
          <xm:sqref>C3:C37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R1048576"/>
  <sheetViews>
    <sheetView topLeftCell="A13" workbookViewId="0">
      <selection activeCell="A27" sqref="A27:F27"/>
    </sheetView>
  </sheetViews>
  <sheetFormatPr baseColWidth="10" defaultColWidth="11.44140625" defaultRowHeight="14.4" x14ac:dyDescent="0.3"/>
  <cols>
    <col min="1" max="1" width="10.6640625" bestFit="1" customWidth="1"/>
    <col min="2" max="2" width="18.44140625" style="4" customWidth="1"/>
    <col min="3" max="3" width="13.33203125" bestFit="1" customWidth="1"/>
    <col min="4" max="4" width="11.5546875" style="4"/>
    <col min="5" max="5" width="13.5546875" bestFit="1" customWidth="1"/>
    <col min="6" max="6" width="11.6640625" customWidth="1"/>
    <col min="11" max="11" width="16.6640625" style="4" customWidth="1"/>
    <col min="12" max="13" width="11.44140625" style="4"/>
    <col min="14" max="14" width="13.5546875" style="4" bestFit="1" customWidth="1"/>
    <col min="15" max="15" width="13.5546875" style="4" customWidth="1"/>
  </cols>
  <sheetData>
    <row r="1" spans="1:18" ht="14.4" customHeight="1" x14ac:dyDescent="0.3">
      <c r="A1" s="128" t="s">
        <v>9</v>
      </c>
      <c r="B1" s="128"/>
      <c r="C1" s="128"/>
      <c r="D1" s="128"/>
      <c r="E1" s="128"/>
      <c r="F1" s="128"/>
      <c r="J1" s="129" t="s">
        <v>19</v>
      </c>
      <c r="K1" s="129"/>
      <c r="L1" s="129"/>
      <c r="M1" s="129"/>
      <c r="N1" s="129"/>
      <c r="O1" s="129"/>
    </row>
    <row r="2" spans="1:18" ht="14.4" customHeight="1" x14ac:dyDescent="0.3">
      <c r="A2" s="128"/>
      <c r="B2" s="128"/>
      <c r="C2" s="128"/>
      <c r="D2" s="128"/>
      <c r="E2" s="128"/>
      <c r="F2" s="128"/>
      <c r="J2" s="129"/>
      <c r="K2" s="129"/>
      <c r="L2" s="129"/>
      <c r="M2" s="129"/>
      <c r="N2" s="129"/>
      <c r="O2" s="129"/>
    </row>
    <row r="3" spans="1:18" ht="14.4" customHeight="1" x14ac:dyDescent="0.3">
      <c r="A3" s="128"/>
      <c r="B3" s="128"/>
      <c r="C3" s="128"/>
      <c r="D3" s="128"/>
      <c r="E3" s="128"/>
      <c r="F3" s="128"/>
      <c r="J3" s="129"/>
      <c r="K3" s="129"/>
      <c r="L3" s="129"/>
      <c r="M3" s="129"/>
      <c r="N3" s="129"/>
      <c r="O3" s="129"/>
    </row>
    <row r="4" spans="1:18" ht="14.4" customHeight="1" x14ac:dyDescent="0.3">
      <c r="A4" s="128"/>
      <c r="B4" s="128"/>
      <c r="C4" s="128"/>
      <c r="D4" s="128"/>
      <c r="E4" s="128"/>
      <c r="F4" s="128"/>
      <c r="J4" s="129"/>
      <c r="K4" s="129"/>
      <c r="L4" s="129"/>
      <c r="M4" s="129"/>
      <c r="N4" s="129"/>
      <c r="O4" s="129"/>
    </row>
    <row r="5" spans="1:18" x14ac:dyDescent="0.3">
      <c r="A5" s="5" t="s">
        <v>0</v>
      </c>
      <c r="B5" s="9" t="s">
        <v>137</v>
      </c>
      <c r="C5" s="5" t="s">
        <v>12</v>
      </c>
      <c r="D5" s="5" t="s">
        <v>13</v>
      </c>
      <c r="E5" s="5" t="s">
        <v>4</v>
      </c>
      <c r="F5" s="5" t="s">
        <v>5</v>
      </c>
      <c r="J5" s="3" t="s">
        <v>0</v>
      </c>
      <c r="K5" s="5" t="s">
        <v>137</v>
      </c>
      <c r="L5" s="5" t="s">
        <v>20</v>
      </c>
      <c r="M5" s="5" t="s">
        <v>13</v>
      </c>
      <c r="N5" s="5" t="s">
        <v>4</v>
      </c>
      <c r="O5" s="5" t="s">
        <v>3</v>
      </c>
    </row>
    <row r="6" spans="1:18" x14ac:dyDescent="0.3">
      <c r="A6" s="106"/>
      <c r="B6" s="100"/>
      <c r="C6" s="7"/>
      <c r="D6"/>
      <c r="E6" s="8"/>
      <c r="F6" s="7">
        <f t="shared" ref="F6:F11" si="0">C6*D6</f>
        <v>0</v>
      </c>
      <c r="G6" t="str">
        <f t="shared" ref="G6:G11" si="1">IF(A6&lt;&gt;"",MONTH(A6),"")</f>
        <v/>
      </c>
      <c r="J6" s="106"/>
      <c r="K6" s="100"/>
      <c r="L6" s="7"/>
      <c r="M6"/>
      <c r="N6" s="8"/>
      <c r="O6" s="24">
        <f t="shared" ref="O6:O11" si="2">L6*M6</f>
        <v>0</v>
      </c>
      <c r="P6" t="str">
        <f t="shared" ref="P6:P11" si="3">IF(J6&lt;&gt;"",MONTH(J6),"")</f>
        <v/>
      </c>
    </row>
    <row r="7" spans="1:18" x14ac:dyDescent="0.3">
      <c r="A7" s="106"/>
      <c r="B7" s="100"/>
      <c r="C7" s="7"/>
      <c r="D7"/>
      <c r="E7" s="8"/>
      <c r="F7" s="8">
        <f t="shared" si="0"/>
        <v>0</v>
      </c>
      <c r="G7" t="str">
        <f t="shared" si="1"/>
        <v/>
      </c>
      <c r="J7" s="106"/>
      <c r="K7" s="100"/>
      <c r="L7" s="7"/>
      <c r="M7"/>
      <c r="N7" s="8"/>
      <c r="O7" s="24">
        <f t="shared" si="2"/>
        <v>0</v>
      </c>
      <c r="P7" t="str">
        <f t="shared" si="3"/>
        <v/>
      </c>
      <c r="Q7" s="1"/>
      <c r="R7" s="2"/>
    </row>
    <row r="8" spans="1:18" x14ac:dyDescent="0.3">
      <c r="A8" s="106"/>
      <c r="B8" s="100"/>
      <c r="C8" s="7"/>
      <c r="D8"/>
      <c r="E8" s="8"/>
      <c r="F8" s="8">
        <f t="shared" si="0"/>
        <v>0</v>
      </c>
      <c r="G8" t="str">
        <f t="shared" si="1"/>
        <v/>
      </c>
      <c r="J8" s="106"/>
      <c r="K8" s="100"/>
      <c r="L8" s="7"/>
      <c r="M8"/>
      <c r="N8" s="8"/>
      <c r="O8" s="24">
        <f t="shared" si="2"/>
        <v>0</v>
      </c>
      <c r="P8" t="str">
        <f t="shared" si="3"/>
        <v/>
      </c>
      <c r="Q8" s="1"/>
      <c r="R8" s="2"/>
    </row>
    <row r="9" spans="1:18" x14ac:dyDescent="0.3">
      <c r="A9" s="106"/>
      <c r="B9" s="100"/>
      <c r="C9" s="7"/>
      <c r="D9"/>
      <c r="E9" s="8"/>
      <c r="F9" s="8">
        <f t="shared" si="0"/>
        <v>0</v>
      </c>
      <c r="G9" t="str">
        <f t="shared" si="1"/>
        <v/>
      </c>
      <c r="J9" s="106"/>
      <c r="K9" s="100"/>
      <c r="L9" s="7"/>
      <c r="M9"/>
      <c r="N9" s="8"/>
      <c r="O9" s="24">
        <f t="shared" si="2"/>
        <v>0</v>
      </c>
      <c r="P9" t="str">
        <f t="shared" si="3"/>
        <v/>
      </c>
      <c r="Q9" s="1"/>
      <c r="R9" s="2"/>
    </row>
    <row r="10" spans="1:18" x14ac:dyDescent="0.3">
      <c r="A10" s="106"/>
      <c r="B10" s="100"/>
      <c r="C10" s="7"/>
      <c r="D10"/>
      <c r="E10" s="8"/>
      <c r="F10" s="8">
        <f t="shared" si="0"/>
        <v>0</v>
      </c>
      <c r="G10" t="str">
        <f t="shared" si="1"/>
        <v/>
      </c>
      <c r="J10" s="106"/>
      <c r="K10" s="100"/>
      <c r="L10" s="7"/>
      <c r="M10"/>
      <c r="N10" s="8"/>
      <c r="O10" s="24">
        <f t="shared" si="2"/>
        <v>0</v>
      </c>
      <c r="P10" t="str">
        <f t="shared" si="3"/>
        <v/>
      </c>
      <c r="Q10" s="1"/>
      <c r="R10" s="2"/>
    </row>
    <row r="11" spans="1:18" x14ac:dyDescent="0.3">
      <c r="A11" s="106"/>
      <c r="B11" s="100"/>
      <c r="C11" s="7"/>
      <c r="D11"/>
      <c r="E11" s="8"/>
      <c r="F11" s="8">
        <f t="shared" si="0"/>
        <v>0</v>
      </c>
      <c r="G11" t="str">
        <f t="shared" si="1"/>
        <v/>
      </c>
      <c r="J11" s="106"/>
      <c r="K11" s="100"/>
      <c r="L11" s="7"/>
      <c r="M11"/>
      <c r="N11" s="8"/>
      <c r="O11" s="24">
        <f t="shared" si="2"/>
        <v>0</v>
      </c>
      <c r="P11" t="str">
        <f t="shared" si="3"/>
        <v/>
      </c>
      <c r="Q11" s="1"/>
      <c r="R11" s="2"/>
    </row>
    <row r="12" spans="1:18" x14ac:dyDescent="0.3">
      <c r="A12" s="106"/>
      <c r="B12" s="100"/>
      <c r="C12" s="7"/>
      <c r="D12"/>
      <c r="E12" s="8"/>
      <c r="F12" s="8">
        <f t="shared" ref="F12:F20" si="4">C12*D12</f>
        <v>0</v>
      </c>
      <c r="G12" t="str">
        <f t="shared" ref="G12:G20" si="5">IF(A12&lt;&gt;"",MONTH(A12),"")</f>
        <v/>
      </c>
      <c r="J12" s="106"/>
      <c r="K12" s="100"/>
      <c r="L12" s="6"/>
      <c r="M12"/>
      <c r="O12" s="24">
        <f t="shared" ref="O12:O20" si="6">L12*M12</f>
        <v>0</v>
      </c>
      <c r="P12" t="str">
        <f t="shared" ref="P12:P20" si="7">IF(J12&lt;&gt;"",MONTH(J12),"")</f>
        <v/>
      </c>
      <c r="Q12" s="1"/>
      <c r="R12" s="2"/>
    </row>
    <row r="13" spans="1:18" x14ac:dyDescent="0.3">
      <c r="A13" s="106"/>
      <c r="B13" s="100"/>
      <c r="C13" s="7"/>
      <c r="D13"/>
      <c r="E13" s="8"/>
      <c r="F13" s="8">
        <f t="shared" si="4"/>
        <v>0</v>
      </c>
      <c r="G13" t="str">
        <f t="shared" si="5"/>
        <v/>
      </c>
      <c r="K13" s="100"/>
      <c r="L13" s="6"/>
      <c r="M13"/>
      <c r="O13" s="24">
        <f t="shared" si="6"/>
        <v>0</v>
      </c>
      <c r="P13" t="str">
        <f t="shared" si="7"/>
        <v/>
      </c>
      <c r="Q13" s="1"/>
      <c r="R13" s="2"/>
    </row>
    <row r="14" spans="1:18" x14ac:dyDescent="0.3">
      <c r="A14" s="106"/>
      <c r="B14" s="100"/>
      <c r="C14" s="7"/>
      <c r="D14"/>
      <c r="E14" s="8"/>
      <c r="F14" s="8">
        <f t="shared" si="4"/>
        <v>0</v>
      </c>
      <c r="G14" t="str">
        <f t="shared" si="5"/>
        <v/>
      </c>
      <c r="K14" s="100"/>
      <c r="L14" s="6"/>
      <c r="M14"/>
      <c r="O14" s="24">
        <f t="shared" si="6"/>
        <v>0</v>
      </c>
      <c r="P14" t="str">
        <f t="shared" si="7"/>
        <v/>
      </c>
      <c r="Q14" s="1"/>
      <c r="R14" s="2"/>
    </row>
    <row r="15" spans="1:18" x14ac:dyDescent="0.3">
      <c r="A15" s="1"/>
      <c r="B15" s="100"/>
      <c r="C15" s="7"/>
      <c r="D15"/>
      <c r="E15" s="8"/>
      <c r="F15" s="8">
        <f t="shared" si="4"/>
        <v>0</v>
      </c>
      <c r="G15" t="str">
        <f t="shared" si="5"/>
        <v/>
      </c>
      <c r="K15" s="100"/>
      <c r="L15" s="6"/>
      <c r="M15"/>
      <c r="O15" s="24">
        <f t="shared" si="6"/>
        <v>0</v>
      </c>
      <c r="P15" t="str">
        <f t="shared" si="7"/>
        <v/>
      </c>
    </row>
    <row r="16" spans="1:18" x14ac:dyDescent="0.3">
      <c r="A16" s="1"/>
      <c r="B16" s="100"/>
      <c r="C16" s="7"/>
      <c r="D16"/>
      <c r="E16" s="8"/>
      <c r="F16" s="8">
        <f t="shared" si="4"/>
        <v>0</v>
      </c>
      <c r="G16" t="str">
        <f t="shared" si="5"/>
        <v/>
      </c>
      <c r="K16" s="100"/>
      <c r="L16" s="6"/>
      <c r="M16"/>
      <c r="O16" s="24">
        <f t="shared" si="6"/>
        <v>0</v>
      </c>
      <c r="P16" t="str">
        <f t="shared" si="7"/>
        <v/>
      </c>
    </row>
    <row r="17" spans="1:16" x14ac:dyDescent="0.3">
      <c r="A17" s="1"/>
      <c r="B17" s="100"/>
      <c r="C17" s="7"/>
      <c r="D17"/>
      <c r="E17" s="8"/>
      <c r="F17" s="8">
        <f t="shared" si="4"/>
        <v>0</v>
      </c>
      <c r="G17" t="str">
        <f t="shared" si="5"/>
        <v/>
      </c>
      <c r="K17" s="100"/>
      <c r="L17" s="6"/>
      <c r="M17"/>
      <c r="O17" s="6">
        <f t="shared" si="6"/>
        <v>0</v>
      </c>
      <c r="P17" t="str">
        <f t="shared" si="7"/>
        <v/>
      </c>
    </row>
    <row r="18" spans="1:16" x14ac:dyDescent="0.3">
      <c r="A18" s="1"/>
      <c r="B18" s="100"/>
      <c r="C18" s="7"/>
      <c r="D18"/>
      <c r="E18" s="8"/>
      <c r="F18" s="8">
        <f t="shared" si="4"/>
        <v>0</v>
      </c>
      <c r="G18" t="str">
        <f t="shared" si="5"/>
        <v/>
      </c>
      <c r="K18" s="100"/>
      <c r="L18" s="7"/>
      <c r="M18"/>
      <c r="O18" s="24">
        <f t="shared" si="6"/>
        <v>0</v>
      </c>
      <c r="P18" t="str">
        <f t="shared" si="7"/>
        <v/>
      </c>
    </row>
    <row r="19" spans="1:16" x14ac:dyDescent="0.3">
      <c r="A19" s="1"/>
      <c r="B19" s="100"/>
      <c r="C19" s="7"/>
      <c r="D19"/>
      <c r="E19" s="8"/>
      <c r="F19" s="8">
        <f t="shared" si="4"/>
        <v>0</v>
      </c>
      <c r="G19" t="str">
        <f t="shared" si="5"/>
        <v/>
      </c>
      <c r="J19" s="1"/>
      <c r="K19" s="100"/>
      <c r="L19" s="7"/>
      <c r="M19"/>
      <c r="O19" s="24">
        <f t="shared" si="6"/>
        <v>0</v>
      </c>
      <c r="P19" t="str">
        <f t="shared" si="7"/>
        <v/>
      </c>
    </row>
    <row r="20" spans="1:16" ht="15" thickBot="1" x14ac:dyDescent="0.35">
      <c r="A20" s="1"/>
      <c r="B20" s="100"/>
      <c r="C20" s="7"/>
      <c r="D20"/>
      <c r="E20" s="8"/>
      <c r="F20" s="20">
        <f t="shared" si="4"/>
        <v>0</v>
      </c>
      <c r="G20" t="str">
        <f t="shared" si="5"/>
        <v/>
      </c>
      <c r="J20" s="16"/>
      <c r="K20" s="100"/>
      <c r="L20" s="22"/>
      <c r="M20" s="17"/>
      <c r="N20" s="17"/>
      <c r="O20" s="59">
        <f t="shared" si="6"/>
        <v>0</v>
      </c>
      <c r="P20" t="str">
        <f t="shared" si="7"/>
        <v/>
      </c>
    </row>
    <row r="21" spans="1:16" ht="15" thickTop="1" x14ac:dyDescent="0.3">
      <c r="C21" s="7"/>
    </row>
    <row r="22" spans="1:16" ht="14.4" customHeight="1" x14ac:dyDescent="0.3">
      <c r="A22" s="130" t="s">
        <v>37</v>
      </c>
      <c r="B22" s="130"/>
      <c r="C22" s="130"/>
      <c r="D22" s="130"/>
      <c r="E22" s="130"/>
    </row>
    <row r="23" spans="1:16" ht="14.4" customHeight="1" x14ac:dyDescent="0.3">
      <c r="A23" s="130"/>
      <c r="B23" s="130"/>
      <c r="C23" s="130"/>
      <c r="D23" s="130"/>
      <c r="E23" s="130"/>
    </row>
    <row r="24" spans="1:16" ht="14.4" customHeight="1" x14ac:dyDescent="0.3">
      <c r="A24" s="130"/>
      <c r="B24" s="130"/>
      <c r="C24" s="130"/>
      <c r="D24" s="130"/>
      <c r="E24" s="130"/>
    </row>
    <row r="25" spans="1:16" ht="14.4" customHeight="1" x14ac:dyDescent="0.3">
      <c r="A25" s="130"/>
      <c r="B25" s="130"/>
      <c r="C25" s="130"/>
      <c r="D25" s="130"/>
      <c r="E25" s="130"/>
    </row>
    <row r="26" spans="1:16" x14ac:dyDescent="0.3">
      <c r="A26" s="3" t="s">
        <v>0</v>
      </c>
      <c r="B26" s="5" t="s">
        <v>10</v>
      </c>
      <c r="C26" s="19" t="s">
        <v>40</v>
      </c>
      <c r="D26" s="5" t="s">
        <v>41</v>
      </c>
      <c r="E26" s="3" t="s">
        <v>4</v>
      </c>
    </row>
    <row r="27" spans="1:16" x14ac:dyDescent="0.3">
      <c r="A27" s="1"/>
      <c r="B27" s="2"/>
      <c r="C27" s="7"/>
      <c r="F27" t="str">
        <f>IF(A27&lt;&gt;"",MONTH(A27),"")</f>
        <v/>
      </c>
    </row>
    <row r="28" spans="1:16" x14ac:dyDescent="0.3">
      <c r="A28" s="1"/>
      <c r="B28" s="2"/>
      <c r="C28" s="7"/>
      <c r="F28" t="str">
        <f t="shared" ref="F28:F33" si="8">IF(A28&lt;&gt;"",MONTH(A28),"")</f>
        <v/>
      </c>
    </row>
    <row r="29" spans="1:16" x14ac:dyDescent="0.3">
      <c r="B29" s="6"/>
      <c r="C29" s="7"/>
      <c r="F29" t="str">
        <f t="shared" si="8"/>
        <v/>
      </c>
    </row>
    <row r="30" spans="1:16" x14ac:dyDescent="0.3">
      <c r="B30" s="6"/>
      <c r="C30" s="7"/>
      <c r="F30" t="str">
        <f t="shared" si="8"/>
        <v/>
      </c>
    </row>
    <row r="31" spans="1:16" x14ac:dyDescent="0.3">
      <c r="B31" s="6"/>
      <c r="C31" s="7"/>
      <c r="F31" t="str">
        <f t="shared" si="8"/>
        <v/>
      </c>
    </row>
    <row r="32" spans="1:16" x14ac:dyDescent="0.3">
      <c r="B32" s="6"/>
      <c r="C32" s="7"/>
      <c r="F32" t="str">
        <f t="shared" si="8"/>
        <v/>
      </c>
    </row>
    <row r="33" spans="1:6" ht="15" thickBot="1" x14ac:dyDescent="0.35">
      <c r="A33" s="16"/>
      <c r="B33" s="22"/>
      <c r="C33" s="18"/>
      <c r="D33" s="17"/>
      <c r="E33" s="16"/>
      <c r="F33" t="str">
        <f t="shared" si="8"/>
        <v/>
      </c>
    </row>
    <row r="34" spans="1:6" ht="15" thickTop="1" x14ac:dyDescent="0.3"/>
    <row r="44" spans="1:6" x14ac:dyDescent="0.3">
      <c r="B44" s="4">
        <f>COUNTA(B6:B20)</f>
        <v>0</v>
      </c>
      <c r="C44">
        <f>COUNTA(K6:K20)</f>
        <v>0</v>
      </c>
      <c r="D44" s="4">
        <f>COUNTA(B27:B33)</f>
        <v>0</v>
      </c>
    </row>
    <row r="1048576" spans="12:12" x14ac:dyDescent="0.3">
      <c r="L1048576" s="6"/>
    </row>
  </sheetData>
  <mergeCells count="3">
    <mergeCell ref="A1:F4"/>
    <mergeCell ref="J1:O4"/>
    <mergeCell ref="A22:E2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ompilador_costo">
                <anchor moveWithCells="1" sizeWithCells="1">
                  <from>
                    <xdr:col>6</xdr:col>
                    <xdr:colOff>45720</xdr:colOff>
                    <xdr:row>0</xdr:row>
                    <xdr:rowOff>137160</xdr:rowOff>
                  </from>
                  <to>
                    <xdr:col>8</xdr:col>
                    <xdr:colOff>525780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5" name="Button 11">
              <controlPr defaultSize="0" print="0" autoFill="0" autoPict="0" macro="[0]!compilador_ingreso">
                <anchor moveWithCells="1" sizeWithCells="1">
                  <from>
                    <xdr:col>15</xdr:col>
                    <xdr:colOff>22860</xdr:colOff>
                    <xdr:row>0</xdr:row>
                    <xdr:rowOff>30480</xdr:rowOff>
                  </from>
                  <to>
                    <xdr:col>18</xdr:col>
                    <xdr:colOff>533400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6" name="Button 18">
              <controlPr defaultSize="0" print="0" autoFill="0" autoPict="0" macro="[0]!compliador_otros">
                <anchor moveWithCells="1" sizeWithCells="1">
                  <from>
                    <xdr:col>6</xdr:col>
                    <xdr:colOff>22860</xdr:colOff>
                    <xdr:row>21</xdr:row>
                    <xdr:rowOff>0</xdr:rowOff>
                  </from>
                  <to>
                    <xdr:col>8</xdr:col>
                    <xdr:colOff>388620</xdr:colOff>
                    <xdr:row>24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datatypes!$E$2:$E$3</xm:f>
          </x14:formula1>
          <xm:sqref>E6:E20 E27:E33 N6:N20</xm:sqref>
        </x14:dataValidation>
        <x14:dataValidation type="list" allowBlank="1" showInputMessage="1" showErrorMessage="1">
          <x14:formula1>
            <xm:f>datatypes!$H$2:$H$3</xm:f>
          </x14:formula1>
          <xm:sqref>C27:C33</xm:sqref>
        </x14:dataValidation>
        <x14:dataValidation type="list" allowBlank="1" showInputMessage="1" showErrorMessage="1">
          <x14:formula1>
            <xm:f>datatypes!$A$2:$A$29</xm:f>
          </x14:formula1>
          <xm:sqref>B6:B20 K6:K20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28"/>
  <sheetViews>
    <sheetView showGridLines="0" zoomScale="80" zoomScaleNormal="80" workbookViewId="0">
      <selection activeCell="C29" sqref="C29"/>
    </sheetView>
  </sheetViews>
  <sheetFormatPr baseColWidth="10" defaultRowHeight="14.4" x14ac:dyDescent="0.3"/>
  <cols>
    <col min="1" max="1" width="13.6640625" bestFit="1" customWidth="1"/>
    <col min="2" max="2" width="19" bestFit="1" customWidth="1"/>
    <col min="3" max="3" width="15.33203125" bestFit="1" customWidth="1"/>
    <col min="4" max="4" width="11.6640625" bestFit="1" customWidth="1"/>
    <col min="5" max="5" width="14.33203125" bestFit="1" customWidth="1"/>
    <col min="7" max="7" width="21.6640625" bestFit="1" customWidth="1"/>
    <col min="11" max="12" width="16.6640625" bestFit="1" customWidth="1"/>
  </cols>
  <sheetData>
    <row r="1" spans="1:12" ht="14.4" customHeight="1" x14ac:dyDescent="0.3">
      <c r="A1" s="132" t="s">
        <v>91</v>
      </c>
      <c r="B1" s="133" t="s">
        <v>98</v>
      </c>
    </row>
    <row r="2" spans="1:12" ht="14.4" customHeight="1" x14ac:dyDescent="0.3">
      <c r="A2" s="132"/>
      <c r="B2" s="133"/>
    </row>
    <row r="4" spans="1:12" ht="15" thickBot="1" x14ac:dyDescent="0.35">
      <c r="A4" s="134" t="s">
        <v>47</v>
      </c>
      <c r="B4" s="134"/>
      <c r="C4" s="134"/>
      <c r="D4" s="134"/>
      <c r="E4" s="134"/>
      <c r="G4" s="134" t="s">
        <v>48</v>
      </c>
      <c r="H4" s="134"/>
      <c r="I4" s="134"/>
      <c r="J4" s="134"/>
      <c r="K4" s="75" t="s">
        <v>107</v>
      </c>
      <c r="L4" s="23" t="s">
        <v>59</v>
      </c>
    </row>
    <row r="5" spans="1:12" ht="15" thickBot="1" x14ac:dyDescent="0.35">
      <c r="A5" s="134"/>
      <c r="B5" s="134"/>
      <c r="C5" s="134"/>
      <c r="D5" s="134"/>
      <c r="E5" s="134"/>
      <c r="G5" s="134"/>
      <c r="H5" s="134"/>
      <c r="I5" s="134"/>
      <c r="J5" s="134"/>
      <c r="K5" s="76" t="s">
        <v>105</v>
      </c>
      <c r="L5" s="41">
        <f>Finanzas!E5</f>
        <v>0</v>
      </c>
    </row>
    <row r="6" spans="1:12" ht="15" thickBot="1" x14ac:dyDescent="0.35">
      <c r="A6" s="5" t="s">
        <v>11</v>
      </c>
      <c r="B6" s="5" t="s">
        <v>44</v>
      </c>
      <c r="C6" s="5" t="s">
        <v>30</v>
      </c>
      <c r="D6" s="5" t="s">
        <v>21</v>
      </c>
      <c r="E6" s="5" t="s">
        <v>45</v>
      </c>
      <c r="G6" s="65" t="s">
        <v>48</v>
      </c>
      <c r="H6" s="66" t="s">
        <v>43</v>
      </c>
      <c r="I6" s="66" t="s">
        <v>49</v>
      </c>
      <c r="J6" s="66" t="s">
        <v>38</v>
      </c>
      <c r="K6" s="77" t="s">
        <v>106</v>
      </c>
      <c r="L6" s="42">
        <f>Finanzas!E6</f>
        <v>690889</v>
      </c>
    </row>
    <row r="7" spans="1:12" x14ac:dyDescent="0.3">
      <c r="A7" s="4" t="s">
        <v>6</v>
      </c>
      <c r="B7" s="4">
        <f>'analitics (monthly)'!K5</f>
        <v>0</v>
      </c>
      <c r="C7" s="24">
        <f>'analitics (monthly)'!L5</f>
        <v>0</v>
      </c>
      <c r="D7" s="8">
        <f>B7*C7</f>
        <v>0</v>
      </c>
      <c r="E7" s="21">
        <f>'analitics (monthly)'!W4</f>
        <v>0</v>
      </c>
      <c r="G7" s="10" t="s">
        <v>18</v>
      </c>
      <c r="H7" s="33">
        <f>analitics!B3</f>
        <v>0</v>
      </c>
      <c r="I7" s="33">
        <f>analitics!B12</f>
        <v>0</v>
      </c>
      <c r="J7" s="69">
        <f>analitics!E21</f>
        <v>0</v>
      </c>
      <c r="L7" s="38">
        <f>L5+L6</f>
        <v>690889</v>
      </c>
    </row>
    <row r="8" spans="1:12" ht="15" thickBot="1" x14ac:dyDescent="0.35">
      <c r="A8" s="4" t="s">
        <v>2</v>
      </c>
      <c r="B8" s="4">
        <f>'analitics (monthly)'!K6</f>
        <v>0</v>
      </c>
      <c r="C8" s="24">
        <f>'analitics (monthly)'!L6</f>
        <v>0</v>
      </c>
      <c r="D8" s="8">
        <f t="shared" ref="D8:D13" si="0">B8*C8</f>
        <v>0</v>
      </c>
      <c r="E8" s="21">
        <f>'analitics (monthly)'!W5</f>
        <v>0</v>
      </c>
      <c r="G8" s="13" t="s">
        <v>17</v>
      </c>
      <c r="H8" s="74">
        <f>analitics!B4</f>
        <v>1553499</v>
      </c>
      <c r="I8" s="74">
        <f>analitics!B13</f>
        <v>807010</v>
      </c>
      <c r="J8" s="70">
        <f>analitics!E22</f>
        <v>-55600</v>
      </c>
    </row>
    <row r="9" spans="1:12" x14ac:dyDescent="0.3">
      <c r="A9" s="4" t="s">
        <v>1</v>
      </c>
      <c r="B9" s="4">
        <f>'analitics (monthly)'!K7</f>
        <v>0</v>
      </c>
      <c r="C9" s="24">
        <f>'analitics (monthly)'!L7</f>
        <v>0</v>
      </c>
      <c r="D9" s="8">
        <f t="shared" si="0"/>
        <v>0</v>
      </c>
      <c r="E9" s="21">
        <f>'analitics (monthly)'!W6</f>
        <v>0</v>
      </c>
      <c r="G9" s="23"/>
      <c r="H9" s="23"/>
      <c r="I9" s="23"/>
      <c r="J9" s="23"/>
    </row>
    <row r="10" spans="1:12" x14ac:dyDescent="0.3">
      <c r="A10" s="4" t="s">
        <v>8</v>
      </c>
      <c r="B10" s="4">
        <f>'analitics (monthly)'!K8</f>
        <v>0</v>
      </c>
      <c r="C10" s="24">
        <f>'analitics (monthly)'!L8</f>
        <v>0</v>
      </c>
      <c r="D10" s="8">
        <f t="shared" si="0"/>
        <v>0</v>
      </c>
      <c r="E10" s="21">
        <f>'analitics (monthly)'!W7</f>
        <v>0</v>
      </c>
    </row>
    <row r="11" spans="1:12" x14ac:dyDescent="0.3">
      <c r="A11" s="10" t="s">
        <v>108</v>
      </c>
      <c r="B11" s="4">
        <f>'analitics (monthly)'!K9</f>
        <v>0</v>
      </c>
      <c r="C11" s="24">
        <f>'analitics (monthly)'!L9</f>
        <v>0</v>
      </c>
      <c r="D11" s="8">
        <f t="shared" si="0"/>
        <v>0</v>
      </c>
      <c r="E11" s="21">
        <f>'analitics (monthly)'!W8</f>
        <v>0</v>
      </c>
    </row>
    <row r="12" spans="1:12" x14ac:dyDescent="0.3">
      <c r="A12" s="10" t="s">
        <v>109</v>
      </c>
      <c r="B12" s="4">
        <f>'analitics (monthly)'!K10</f>
        <v>0</v>
      </c>
      <c r="C12" s="24">
        <f>'analitics (monthly)'!L10</f>
        <v>0</v>
      </c>
      <c r="D12" s="8">
        <f t="shared" si="0"/>
        <v>0</v>
      </c>
      <c r="E12" s="21">
        <f>'analitics (monthly)'!W9</f>
        <v>0</v>
      </c>
    </row>
    <row r="13" spans="1:12" ht="14.4" customHeight="1" thickBot="1" x14ac:dyDescent="0.35">
      <c r="A13" s="13" t="s">
        <v>110</v>
      </c>
      <c r="B13" s="4">
        <f>'analitics (monthly)'!K11</f>
        <v>0</v>
      </c>
      <c r="C13" s="24">
        <f>'analitics (monthly)'!L11</f>
        <v>0</v>
      </c>
      <c r="D13" s="8">
        <f t="shared" si="0"/>
        <v>0</v>
      </c>
      <c r="E13" s="21">
        <f>'analitics (monthly)'!W10</f>
        <v>0</v>
      </c>
      <c r="G13" s="135" t="s">
        <v>51</v>
      </c>
      <c r="H13" s="137" t="str">
        <f>B1</f>
        <v>Julio</v>
      </c>
      <c r="I13" s="137"/>
    </row>
    <row r="14" spans="1:12" ht="14.4" customHeight="1" x14ac:dyDescent="0.3">
      <c r="A14" s="25"/>
      <c r="B14" s="39">
        <f>SUM(B7:B13)</f>
        <v>0</v>
      </c>
      <c r="C14" s="26"/>
      <c r="D14" s="27">
        <f>SUM(D7:D13)</f>
        <v>0</v>
      </c>
      <c r="E14" s="31">
        <f>analitics!X4</f>
        <v>0.7489466357489456</v>
      </c>
      <c r="G14" s="135"/>
      <c r="H14" s="137"/>
      <c r="I14" s="137"/>
    </row>
    <row r="15" spans="1:12" ht="15" customHeight="1" thickBot="1" x14ac:dyDescent="0.35">
      <c r="G15" s="136"/>
      <c r="H15" s="138"/>
      <c r="I15" s="138"/>
    </row>
    <row r="16" spans="1:12" x14ac:dyDescent="0.3">
      <c r="A16" s="131" t="s">
        <v>27</v>
      </c>
      <c r="B16" s="131"/>
      <c r="C16" s="131"/>
      <c r="D16" s="131"/>
      <c r="G16" s="60"/>
      <c r="H16" s="61"/>
      <c r="I16" s="62"/>
    </row>
    <row r="17" spans="1:9" x14ac:dyDescent="0.3">
      <c r="A17" s="131"/>
      <c r="B17" s="131"/>
      <c r="C17" s="131"/>
      <c r="D17" s="131"/>
      <c r="G17" s="35" t="s">
        <v>52</v>
      </c>
      <c r="H17" s="33">
        <f>D14</f>
        <v>0</v>
      </c>
      <c r="I17" s="34"/>
    </row>
    <row r="18" spans="1:9" x14ac:dyDescent="0.3">
      <c r="A18" s="5" t="s">
        <v>11</v>
      </c>
      <c r="B18" s="5" t="s">
        <v>29</v>
      </c>
      <c r="C18" s="5" t="s">
        <v>28</v>
      </c>
      <c r="D18" s="5" t="s">
        <v>15</v>
      </c>
      <c r="G18" s="35" t="s">
        <v>65</v>
      </c>
      <c r="H18" s="33">
        <f>'analitics (monthly)'!AM4</f>
        <v>0</v>
      </c>
      <c r="I18" s="34"/>
    </row>
    <row r="19" spans="1:9" x14ac:dyDescent="0.3">
      <c r="A19" s="4" t="s">
        <v>6</v>
      </c>
      <c r="B19" s="4">
        <f>'analitics (monthly)'!AH5</f>
        <v>0</v>
      </c>
      <c r="C19" s="24">
        <f>'analitics (monthly)'!AI5</f>
        <v>0</v>
      </c>
      <c r="D19" s="8">
        <f>B19*C19</f>
        <v>0</v>
      </c>
      <c r="G19" s="35" t="s">
        <v>60</v>
      </c>
      <c r="H19" s="33">
        <f>'analitics (monthly)'!AC3</f>
        <v>0</v>
      </c>
      <c r="I19" s="34"/>
    </row>
    <row r="20" spans="1:9" x14ac:dyDescent="0.3">
      <c r="A20" s="4" t="s">
        <v>2</v>
      </c>
      <c r="B20" s="4">
        <f>'analitics (monthly)'!AH6</f>
        <v>0</v>
      </c>
      <c r="C20" s="24">
        <f>'analitics (monthly)'!AI6</f>
        <v>0</v>
      </c>
      <c r="D20" s="8">
        <f>B20*C20</f>
        <v>0</v>
      </c>
      <c r="G20" s="10"/>
      <c r="H20" s="14"/>
      <c r="I20" s="34"/>
    </row>
    <row r="21" spans="1:9" ht="15" thickBot="1" x14ac:dyDescent="0.35">
      <c r="A21" s="4" t="s">
        <v>1</v>
      </c>
      <c r="B21" s="4">
        <f>'analitics (monthly)'!AH7</f>
        <v>0</v>
      </c>
      <c r="C21" s="24">
        <f>'analitics (monthly)'!AI7</f>
        <v>0</v>
      </c>
      <c r="D21" s="8">
        <f>B21*C21</f>
        <v>0</v>
      </c>
      <c r="G21" s="35" t="s">
        <v>53</v>
      </c>
      <c r="H21" s="20">
        <f>H17-H19-H18</f>
        <v>0</v>
      </c>
      <c r="I21" s="34"/>
    </row>
    <row r="22" spans="1:9" ht="15" thickTop="1" x14ac:dyDescent="0.3">
      <c r="A22" s="4" t="s">
        <v>8</v>
      </c>
      <c r="B22" s="4">
        <f>'analitics (monthly)'!AH8</f>
        <v>0</v>
      </c>
      <c r="C22" s="24">
        <f>'analitics (monthly)'!AI8</f>
        <v>0</v>
      </c>
      <c r="D22" s="8">
        <f>B22*C22</f>
        <v>0</v>
      </c>
      <c r="G22" s="10"/>
      <c r="H22" s="14"/>
      <c r="I22" s="34"/>
    </row>
    <row r="23" spans="1:9" x14ac:dyDescent="0.3">
      <c r="A23" s="10" t="s">
        <v>108</v>
      </c>
      <c r="B23" s="4">
        <f>'analitics (monthly)'!AH9</f>
        <v>0</v>
      </c>
      <c r="C23" s="24">
        <f>'analitics (monthly)'!AI9</f>
        <v>0</v>
      </c>
      <c r="D23" s="8">
        <f t="shared" ref="D23:D25" si="1">B23*C23</f>
        <v>0</v>
      </c>
      <c r="G23" s="35" t="s">
        <v>57</v>
      </c>
      <c r="H23" s="33">
        <f>'analitics (monthly)'!AM6</f>
        <v>0</v>
      </c>
      <c r="I23" s="34"/>
    </row>
    <row r="24" spans="1:9" x14ac:dyDescent="0.3">
      <c r="A24" s="10" t="s">
        <v>109</v>
      </c>
      <c r="B24" s="4">
        <f>'analitics (monthly)'!AH10</f>
        <v>0</v>
      </c>
      <c r="C24" s="24">
        <f>'analitics (monthly)'!AI10</f>
        <v>0</v>
      </c>
      <c r="D24" s="8">
        <f t="shared" si="1"/>
        <v>0</v>
      </c>
      <c r="G24" s="35" t="s">
        <v>58</v>
      </c>
      <c r="H24" s="33">
        <f>'analitics (monthly)'!AM5</f>
        <v>0</v>
      </c>
      <c r="I24" s="34"/>
    </row>
    <row r="25" spans="1:9" ht="15" thickBot="1" x14ac:dyDescent="0.35">
      <c r="A25" s="13" t="s">
        <v>110</v>
      </c>
      <c r="B25" s="4">
        <f>'analitics (monthly)'!AH11</f>
        <v>0</v>
      </c>
      <c r="C25" s="24">
        <f>'analitics (monthly)'!AI11</f>
        <v>0</v>
      </c>
      <c r="D25" s="8">
        <f t="shared" si="1"/>
        <v>0</v>
      </c>
      <c r="G25" s="35" t="s">
        <v>89</v>
      </c>
      <c r="H25" s="73">
        <f>H21+H23-H24+H51</f>
        <v>0</v>
      </c>
      <c r="I25" s="34"/>
    </row>
    <row r="26" spans="1:9" x14ac:dyDescent="0.3">
      <c r="A26" s="28"/>
      <c r="B26" s="40">
        <f>SUM(B19:B25)</f>
        <v>0</v>
      </c>
      <c r="C26" s="29"/>
      <c r="D26" s="30">
        <f>SUM(D19:D25)</f>
        <v>0</v>
      </c>
      <c r="G26" s="72" t="s">
        <v>82</v>
      </c>
      <c r="H26" s="33">
        <f>'analitics (monthly)'!AM7</f>
        <v>0</v>
      </c>
      <c r="I26" s="34"/>
    </row>
    <row r="27" spans="1:9" ht="15" thickBot="1" x14ac:dyDescent="0.35">
      <c r="G27" s="72" t="s">
        <v>88</v>
      </c>
      <c r="H27" s="73">
        <f>H25-H26</f>
        <v>0</v>
      </c>
      <c r="I27" s="34"/>
    </row>
    <row r="28" spans="1:9" ht="15.6" thickTop="1" thickBot="1" x14ac:dyDescent="0.35">
      <c r="G28" s="13"/>
      <c r="H28" s="36"/>
      <c r="I28" s="37"/>
    </row>
  </sheetData>
  <mergeCells count="7">
    <mergeCell ref="A16:D17"/>
    <mergeCell ref="A1:A2"/>
    <mergeCell ref="B1:B2"/>
    <mergeCell ref="A4:E5"/>
    <mergeCell ref="G4:J5"/>
    <mergeCell ref="G13:G15"/>
    <mergeCell ref="H13:I15"/>
  </mergeCells>
  <conditionalFormatting sqref="D7:D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{B90BF9B2-AEB4-4189-9659-6A716616E450}</x14:id>
        </ext>
      </extLst>
    </cfRule>
  </conditionalFormatting>
  <conditionalFormatting sqref="H21">
    <cfRule type="cellIs" dxfId="2" priority="1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0BF9B2-AEB4-4189-9659-6A716616E4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D7:D13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'analitics (monthly)'!$A$24:$A$38</xm:f>
          </x14:formula1>
          <xm:sqref>B1:B2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2:T46"/>
  <sheetViews>
    <sheetView showGridLines="0" topLeftCell="H13" zoomScaleNormal="100" workbookViewId="0">
      <selection activeCell="T34" sqref="T34"/>
    </sheetView>
  </sheetViews>
  <sheetFormatPr baseColWidth="10" defaultColWidth="11.44140625" defaultRowHeight="14.4" x14ac:dyDescent="0.3"/>
  <cols>
    <col min="1" max="1" width="19.5546875" bestFit="1" customWidth="1"/>
    <col min="2" max="2" width="25.88671875" style="4" bestFit="1" customWidth="1"/>
    <col min="3" max="3" width="20.33203125" style="4" bestFit="1" customWidth="1"/>
    <col min="4" max="4" width="15.6640625" bestFit="1" customWidth="1"/>
    <col min="5" max="5" width="19.6640625" bestFit="1" customWidth="1"/>
    <col min="6" max="6" width="4.77734375" customWidth="1"/>
    <col min="7" max="8" width="19.5546875" bestFit="1" customWidth="1"/>
    <col min="9" max="9" width="15.109375" bestFit="1" customWidth="1"/>
    <col min="10" max="10" width="10.6640625" bestFit="1" customWidth="1"/>
    <col min="11" max="11" width="5.6640625" customWidth="1"/>
    <col min="12" max="12" width="19.5546875" bestFit="1" customWidth="1"/>
    <col min="13" max="14" width="15.6640625" bestFit="1" customWidth="1"/>
    <col min="16" max="16" width="19.5546875" bestFit="1" customWidth="1"/>
    <col min="17" max="17" width="15.6640625" bestFit="1" customWidth="1"/>
    <col min="18" max="18" width="7.6640625" bestFit="1" customWidth="1"/>
    <col min="19" max="19" width="16.21875" bestFit="1" customWidth="1"/>
    <col min="20" max="20" width="16.6640625" bestFit="1" customWidth="1"/>
  </cols>
  <sheetData>
    <row r="2" spans="1:20" x14ac:dyDescent="0.3">
      <c r="A2" s="134" t="s">
        <v>47</v>
      </c>
      <c r="B2" s="134"/>
      <c r="C2" s="134"/>
      <c r="D2" s="134"/>
      <c r="E2" s="134"/>
      <c r="G2" s="131" t="s">
        <v>27</v>
      </c>
      <c r="H2" s="131"/>
      <c r="I2" s="131"/>
      <c r="J2" s="131"/>
      <c r="L2" s="139" t="s">
        <v>14</v>
      </c>
      <c r="M2" s="139"/>
      <c r="N2" s="139"/>
      <c r="P2" s="140" t="s">
        <v>85</v>
      </c>
      <c r="Q2" s="140"/>
      <c r="R2" s="140"/>
      <c r="S2" s="140"/>
      <c r="T2" s="140"/>
    </row>
    <row r="3" spans="1:20" x14ac:dyDescent="0.3">
      <c r="A3" s="134"/>
      <c r="B3" s="134"/>
      <c r="C3" s="134"/>
      <c r="D3" s="134"/>
      <c r="E3" s="134"/>
      <c r="G3" s="131"/>
      <c r="H3" s="131"/>
      <c r="I3" s="131"/>
      <c r="J3" s="131"/>
      <c r="L3" s="139"/>
      <c r="M3" s="139"/>
      <c r="N3" s="139"/>
      <c r="P3" s="141"/>
      <c r="Q3" s="141"/>
      <c r="R3" s="141"/>
      <c r="S3" s="141"/>
      <c r="T3" s="141"/>
    </row>
    <row r="4" spans="1:20" x14ac:dyDescent="0.3">
      <c r="A4" s="5" t="s">
        <v>11</v>
      </c>
      <c r="B4" s="5" t="s">
        <v>44</v>
      </c>
      <c r="C4" s="5" t="s">
        <v>30</v>
      </c>
      <c r="D4" s="5" t="s">
        <v>21</v>
      </c>
      <c r="E4" s="5" t="s">
        <v>45</v>
      </c>
      <c r="F4" s="5"/>
      <c r="G4" s="5" t="s">
        <v>11</v>
      </c>
      <c r="H4" s="5" t="s">
        <v>29</v>
      </c>
      <c r="I4" s="5" t="s">
        <v>28</v>
      </c>
      <c r="J4" s="5" t="s">
        <v>15</v>
      </c>
      <c r="L4" s="5" t="s">
        <v>11</v>
      </c>
      <c r="M4" s="5" t="s">
        <v>46</v>
      </c>
      <c r="N4" s="5" t="s">
        <v>61</v>
      </c>
      <c r="P4" s="96" t="s">
        <v>11</v>
      </c>
      <c r="Q4" s="97" t="s">
        <v>46</v>
      </c>
      <c r="R4" s="97" t="s">
        <v>20</v>
      </c>
      <c r="S4" s="97" t="s">
        <v>86</v>
      </c>
      <c r="T4" s="98" t="s">
        <v>87</v>
      </c>
    </row>
    <row r="5" spans="1:20" x14ac:dyDescent="0.3">
      <c r="A5" s="95" t="str" cm="1">
        <f t="array" ref="A5">IFERROR(INDEX(datatypes!$A$2:$A$200,MATCH(0,INDEX(COUNTIF($A$4:A4,datatypes!$A$2:$A$200),0,0),0)),"")</f>
        <v>Track ball cat toy</v>
      </c>
      <c r="B5" s="4">
        <f>analitics!I5</f>
        <v>1</v>
      </c>
      <c r="C5" s="24">
        <f>analitics!J5</f>
        <v>14900</v>
      </c>
      <c r="D5" s="8">
        <f>B5*C5</f>
        <v>14900</v>
      </c>
      <c r="E5" s="21">
        <f>analitics!X5</f>
        <v>0.65033557046979862</v>
      </c>
      <c r="F5" s="4"/>
      <c r="G5" s="95" t="str" cm="1">
        <f t="array" ref="G5">IFERROR(INDEX(datatypes!$A$2:$A$200,MATCH(0,INDEX(COUNTIF($G$4:G4,datatypes!$A$2:$A$200),0,0),0)),"")</f>
        <v>Track ball cat toy</v>
      </c>
      <c r="H5" s="4">
        <f>analitics!AE5</f>
        <v>3</v>
      </c>
      <c r="I5" s="24">
        <f>analitics!AF5</f>
        <v>5210</v>
      </c>
      <c r="J5" s="8">
        <f>H5*I5</f>
        <v>15630</v>
      </c>
      <c r="L5" s="95" t="str" cm="1">
        <f t="array" ref="L5">IFERROR(INDEX(datatypes!$A$2:$A$200,MATCH(0,INDEX(COUNTIF($L$4:L4,datatypes!$A$2:$A$200),0,0),0)),"")</f>
        <v>Track ball cat toy</v>
      </c>
      <c r="M5" s="4">
        <f>analitics!AQ5</f>
        <v>2</v>
      </c>
      <c r="N5" s="24">
        <f t="shared" ref="N5:N31" si="0">M5*I5</f>
        <v>10420</v>
      </c>
      <c r="P5" s="99" t="str" cm="1">
        <f t="array" ref="P5">IFERROR(INDEX(datatypes!$A$2:$A$200,MATCH(0,INDEX(COUNTIF($P$4:P4,datatypes!$A$2:$A$200),0,0),0)),"")</f>
        <v>Track ball cat toy</v>
      </c>
      <c r="Q5" s="11">
        <f t="shared" ref="Q5:Q11" si="1">M5</f>
        <v>2</v>
      </c>
      <c r="R5" s="67"/>
      <c r="S5" s="68">
        <f t="shared" ref="S5:S23" si="2">IF(R5&lt;&gt;"",R5*Q5,Q5*C5)</f>
        <v>29800</v>
      </c>
      <c r="T5" s="51">
        <f t="shared" ref="T5:T23" si="3">S5-N5</f>
        <v>19380</v>
      </c>
    </row>
    <row r="6" spans="1:20" x14ac:dyDescent="0.3">
      <c r="A6" s="95" t="str" cm="1">
        <f t="array" ref="A6">IFERROR(INDEX(datatypes!$A$2:$A$200,MATCH(0,INDEX(COUNTIF($A$4:A5,datatypes!$A$2:$A$200),0,0),0)),"")</f>
        <v>Cat toothbrush</v>
      </c>
      <c r="B6" s="4">
        <f>analitics!I6</f>
        <v>0</v>
      </c>
      <c r="C6" s="24">
        <f>analitics!J6</f>
        <v>0</v>
      </c>
      <c r="D6" s="8">
        <f t="shared" ref="D6:D11" si="4">B6*C6</f>
        <v>0</v>
      </c>
      <c r="E6" s="21">
        <f>analitics!X6</f>
        <v>0</v>
      </c>
      <c r="F6" s="4"/>
      <c r="G6" s="95" t="str" cm="1">
        <f t="array" ref="G6">IFERROR(INDEX(datatypes!$A$2:$A$200,MATCH(0,INDEX(COUNTIF($G$4:G5,datatypes!$A$2:$A$200),0,0),0)),"")</f>
        <v>Cat toothbrush</v>
      </c>
      <c r="H6" s="4">
        <f>analitics!AE6</f>
        <v>6</v>
      </c>
      <c r="I6" s="24">
        <f>analitics!AF6</f>
        <v>1580</v>
      </c>
      <c r="J6" s="8">
        <f>H6*I6</f>
        <v>9480</v>
      </c>
      <c r="L6" s="95" t="str" cm="1">
        <f t="array" ref="L6">IFERROR(INDEX(datatypes!$A$2:$A$200,MATCH(0,INDEX(COUNTIF($L$4:L5,datatypes!$A$2:$A$200),0,0),0)),"")</f>
        <v>Cat toothbrush</v>
      </c>
      <c r="M6" s="4">
        <f>analitics!AQ6</f>
        <v>6</v>
      </c>
      <c r="N6" s="24">
        <f t="shared" si="0"/>
        <v>9480</v>
      </c>
      <c r="P6" s="99" t="str" cm="1">
        <f t="array" ref="P6">IFERROR(INDEX(datatypes!$A$2:$A$200,MATCH(0,INDEX(COUNTIF($P$4:P5,datatypes!$A$2:$A$200),0,0),0)),"")</f>
        <v>Cat toothbrush</v>
      </c>
      <c r="Q6" s="11">
        <f t="shared" si="1"/>
        <v>6</v>
      </c>
      <c r="R6" s="67"/>
      <c r="S6" s="68">
        <f t="shared" si="2"/>
        <v>0</v>
      </c>
      <c r="T6" s="51">
        <f t="shared" si="3"/>
        <v>-9480</v>
      </c>
    </row>
    <row r="7" spans="1:20" x14ac:dyDescent="0.3">
      <c r="A7" s="95" t="str" cm="1">
        <f t="array" ref="A7">IFERROR(INDEX(datatypes!$A$2:$A$200,MATCH(0,INDEX(COUNTIF($A$4:A6,datatypes!$A$2:$A$200),0,0),0)),"")</f>
        <v>Raton control remoto</v>
      </c>
      <c r="B7" s="4">
        <f>analitics!I7</f>
        <v>3</v>
      </c>
      <c r="C7" s="24">
        <f>analitics!J7</f>
        <v>10000</v>
      </c>
      <c r="D7" s="8">
        <f t="shared" si="4"/>
        <v>30000</v>
      </c>
      <c r="E7" s="21">
        <f>analitics!X7</f>
        <v>0.79600000000000004</v>
      </c>
      <c r="F7" s="4"/>
      <c r="G7" s="95" t="str" cm="1">
        <f t="array" ref="G7">IFERROR(INDEX(datatypes!$A$2:$A$200,MATCH(0,INDEX(COUNTIF($G$4:G6,datatypes!$A$2:$A$200),0,0),0)),"")</f>
        <v>Raton control remoto</v>
      </c>
      <c r="H7" s="4">
        <f>analitics!AE7</f>
        <v>3</v>
      </c>
      <c r="I7" s="24">
        <f>analitics!AF7</f>
        <v>2040</v>
      </c>
      <c r="J7" s="8">
        <f>H7*I7</f>
        <v>6120</v>
      </c>
      <c r="L7" s="95" t="str" cm="1">
        <f t="array" ref="L7">IFERROR(INDEX(datatypes!$A$2:$A$200,MATCH(0,INDEX(COUNTIF($L$4:L6,datatypes!$A$2:$A$200),0,0),0)),"")</f>
        <v>Raton control remoto</v>
      </c>
      <c r="M7" s="4">
        <f>analitics!AQ7</f>
        <v>0</v>
      </c>
      <c r="N7" s="24">
        <f t="shared" si="0"/>
        <v>0</v>
      </c>
      <c r="P7" s="99" t="str" cm="1">
        <f t="array" ref="P7">IFERROR(INDEX(datatypes!$A$2:$A$200,MATCH(0,INDEX(COUNTIF($P$4:P6,datatypes!$A$2:$A$200),0,0),0)),"")</f>
        <v>Raton control remoto</v>
      </c>
      <c r="Q7" s="11">
        <f t="shared" si="1"/>
        <v>0</v>
      </c>
      <c r="R7" s="67"/>
      <c r="S7" s="68">
        <f t="shared" si="2"/>
        <v>0</v>
      </c>
      <c r="T7" s="51">
        <f t="shared" si="3"/>
        <v>0</v>
      </c>
    </row>
    <row r="8" spans="1:20" x14ac:dyDescent="0.3">
      <c r="A8" s="95" t="str" cm="1">
        <f t="array" ref="A8">IFERROR(INDEX(datatypes!$A$2:$A$200,MATCH(0,INDEX(COUNTIF($A$4:A7,datatypes!$A$2:$A$200),0,0),0)),"")</f>
        <v>eating sport</v>
      </c>
      <c r="B8" s="4">
        <f>analitics!I8</f>
        <v>3</v>
      </c>
      <c r="C8" s="24">
        <f>analitics!J8</f>
        <v>9900</v>
      </c>
      <c r="D8" s="8">
        <f t="shared" si="4"/>
        <v>29700</v>
      </c>
      <c r="E8" s="21">
        <f>analitics!X8</f>
        <v>0.7595959595959596</v>
      </c>
      <c r="F8" s="4"/>
      <c r="G8" s="95" t="str" cm="1">
        <f t="array" ref="G8">IFERROR(INDEX(datatypes!$A$2:$A$200,MATCH(0,INDEX(COUNTIF($G$4:G7,datatypes!$A$2:$A$200),0,0),0)),"")</f>
        <v>eating sport</v>
      </c>
      <c r="H8" s="4">
        <f>analitics!AE8</f>
        <v>4</v>
      </c>
      <c r="I8" s="24">
        <f>analitics!AF8</f>
        <v>2380</v>
      </c>
      <c r="J8" s="8">
        <f>H8*I8</f>
        <v>9520</v>
      </c>
      <c r="K8" s="8"/>
      <c r="L8" s="95" t="str" cm="1">
        <f t="array" ref="L8">IFERROR(INDEX(datatypes!$A$2:$A$200,MATCH(0,INDEX(COUNTIF($L$4:L7,datatypes!$A$2:$A$200),0,0),0)),"")</f>
        <v>eating sport</v>
      </c>
      <c r="M8" s="4">
        <f>analitics!AQ8</f>
        <v>1</v>
      </c>
      <c r="N8" s="24">
        <f t="shared" si="0"/>
        <v>2380</v>
      </c>
      <c r="P8" s="99" t="str" cm="1">
        <f t="array" ref="P8">IFERROR(INDEX(datatypes!$A$2:$A$200,MATCH(0,INDEX(COUNTIF($P$4:P7,datatypes!$A$2:$A$200),0,0),0)),"")</f>
        <v>eating sport</v>
      </c>
      <c r="Q8" s="11">
        <f t="shared" si="1"/>
        <v>1</v>
      </c>
      <c r="R8" s="67"/>
      <c r="S8" s="68">
        <f t="shared" si="2"/>
        <v>9900</v>
      </c>
      <c r="T8" s="51">
        <f t="shared" si="3"/>
        <v>7520</v>
      </c>
    </row>
    <row r="9" spans="1:20" x14ac:dyDescent="0.3">
      <c r="A9" s="95" t="str" cm="1">
        <f t="array" ref="A9">IFERROR(INDEX(datatypes!$A$2:$A$200,MATCH(0,INDEX(COUNTIF($A$4:A8,datatypes!$A$2:$A$200),0,0),0)),"")</f>
        <v>botella de agua</v>
      </c>
      <c r="B9" s="4">
        <f>analitics!I9</f>
        <v>6</v>
      </c>
      <c r="C9" s="24">
        <f>analitics!J9</f>
        <v>9916.5</v>
      </c>
      <c r="D9" s="8">
        <f t="shared" si="4"/>
        <v>59499</v>
      </c>
      <c r="E9" s="21">
        <f>analitics!X9</f>
        <v>0.69411250609253927</v>
      </c>
      <c r="F9" s="4"/>
      <c r="G9" s="95" t="str" cm="1">
        <f t="array" ref="G9">IFERROR(INDEX(datatypes!$A$2:$A$200,MATCH(0,INDEX(COUNTIF($G$4:G8,datatypes!$A$2:$A$200),0,0),0)),"")</f>
        <v>botella de agua</v>
      </c>
      <c r="H9" s="4">
        <f>analitics!AE9</f>
        <v>6</v>
      </c>
      <c r="I9" s="24">
        <f>analitics!AF9</f>
        <v>3033.3333333333335</v>
      </c>
      <c r="J9" s="8">
        <f t="shared" ref="J9:J11" si="5">H9*I9</f>
        <v>18200</v>
      </c>
      <c r="K9" s="8"/>
      <c r="L9" s="95" t="str" cm="1">
        <f t="array" ref="L9">IFERROR(INDEX(datatypes!$A$2:$A$200,MATCH(0,INDEX(COUNTIF($L$4:L8,datatypes!$A$2:$A$200),0,0),0)),"")</f>
        <v>botella de agua</v>
      </c>
      <c r="M9" s="4">
        <f>analitics!AQ9</f>
        <v>0</v>
      </c>
      <c r="N9" s="24">
        <f t="shared" si="0"/>
        <v>0</v>
      </c>
      <c r="P9" s="99" t="str" cm="1">
        <f t="array" ref="P9">IFERROR(INDEX(datatypes!$A$2:$A$200,MATCH(0,INDEX(COUNTIF($P$4:P8,datatypes!$A$2:$A$200),0,0),0)),"")</f>
        <v>botella de agua</v>
      </c>
      <c r="Q9" s="11">
        <f t="shared" si="1"/>
        <v>0</v>
      </c>
      <c r="R9" s="11"/>
      <c r="S9" s="68">
        <f t="shared" si="2"/>
        <v>0</v>
      </c>
      <c r="T9" s="51">
        <f t="shared" si="3"/>
        <v>0</v>
      </c>
    </row>
    <row r="10" spans="1:20" x14ac:dyDescent="0.3">
      <c r="A10" s="95" t="str" cm="1">
        <f t="array" ref="A10">IFERROR(INDEX(datatypes!$A$2:$A$200,MATCH(0,INDEX(COUNTIF($A$4:A9,datatypes!$A$2:$A$200),0,0),0)),"")</f>
        <v>correa manos libre</v>
      </c>
      <c r="B10" s="4">
        <f>analitics!I10</f>
        <v>4</v>
      </c>
      <c r="C10" s="24">
        <f>analitics!J10</f>
        <v>13900</v>
      </c>
      <c r="D10" s="8">
        <f t="shared" si="4"/>
        <v>55600</v>
      </c>
      <c r="E10" s="21">
        <f>analitics!X10</f>
        <v>0.71366906474820146</v>
      </c>
      <c r="G10" s="95" t="str" cm="1">
        <f t="array" ref="G10">IFERROR(INDEX(datatypes!$A$2:$A$200,MATCH(0,INDEX(COUNTIF($G$4:G9,datatypes!$A$2:$A$200),0,0),0)),"")</f>
        <v>correa manos libre</v>
      </c>
      <c r="H10" s="4">
        <f>analitics!AE10</f>
        <v>4</v>
      </c>
      <c r="I10" s="24">
        <f>analitics!AF10</f>
        <v>3980</v>
      </c>
      <c r="J10" s="8">
        <f t="shared" si="5"/>
        <v>15920</v>
      </c>
      <c r="L10" s="95" t="str" cm="1">
        <f t="array" ref="L10">IFERROR(INDEX(datatypes!$A$2:$A$200,MATCH(0,INDEX(COUNTIF($L$4:L9,datatypes!$A$2:$A$200),0,0),0)),"")</f>
        <v>correa manos libre</v>
      </c>
      <c r="M10" s="4">
        <f>analitics!AQ10</f>
        <v>0</v>
      </c>
      <c r="N10" s="24">
        <f t="shared" si="0"/>
        <v>0</v>
      </c>
      <c r="P10" s="99" t="str" cm="1">
        <f t="array" ref="P10">IFERROR(INDEX(datatypes!$A$2:$A$200,MATCH(0,INDEX(COUNTIF($P$4:P9,datatypes!$A$2:$A$200),0,0),0)),"")</f>
        <v>correa manos libre</v>
      </c>
      <c r="Q10" s="11">
        <f t="shared" si="1"/>
        <v>0</v>
      </c>
      <c r="R10" s="11"/>
      <c r="S10" s="68">
        <f t="shared" si="2"/>
        <v>0</v>
      </c>
      <c r="T10" s="51">
        <f t="shared" si="3"/>
        <v>0</v>
      </c>
    </row>
    <row r="11" spans="1:20" x14ac:dyDescent="0.3">
      <c r="A11" s="95" t="str" cm="1">
        <f t="array" ref="A11">IFERROR(INDEX(datatypes!$A$2:$A$200,MATCH(0,INDEX(COUNTIF($A$4:A10,datatypes!$A$2:$A$200),0,0),0)),"")</f>
        <v>Pack arnes talla S</v>
      </c>
      <c r="B11" s="4">
        <f>analitics!I11</f>
        <v>2</v>
      </c>
      <c r="C11" s="24">
        <f>analitics!J11</f>
        <v>12000</v>
      </c>
      <c r="D11" s="8">
        <f t="shared" si="4"/>
        <v>24000</v>
      </c>
      <c r="E11" s="21">
        <f>analitics!X11</f>
        <v>0.88166666666666671</v>
      </c>
      <c r="G11" s="95" t="str" cm="1">
        <f t="array" ref="G11">IFERROR(INDEX(datatypes!$A$2:$A$200,MATCH(0,INDEX(COUNTIF($G$4:G10,datatypes!$A$2:$A$200),0,0),0)),"")</f>
        <v>Pack arnes talla S</v>
      </c>
      <c r="H11" s="4">
        <f>analitics!AE11</f>
        <v>6</v>
      </c>
      <c r="I11" s="24">
        <f>analitics!AF11</f>
        <v>1420</v>
      </c>
      <c r="J11" s="8">
        <f t="shared" si="5"/>
        <v>8520</v>
      </c>
      <c r="L11" s="95" t="str" cm="1">
        <f t="array" ref="L11">IFERROR(INDEX(datatypes!$A$2:$A$200,MATCH(0,INDEX(COUNTIF($L$4:L10,datatypes!$A$2:$A$200),0,0),0)),"")</f>
        <v>Pack arnes talla S</v>
      </c>
      <c r="M11" s="4">
        <f>analitics!AQ11</f>
        <v>4</v>
      </c>
      <c r="N11" s="24">
        <f t="shared" si="0"/>
        <v>5680</v>
      </c>
      <c r="P11" s="99" t="str" cm="1">
        <f t="array" ref="P11">IFERROR(INDEX(datatypes!$A$2:$A$200,MATCH(0,INDEX(COUNTIF($P$4:P10,datatypes!$A$2:$A$200),0,0),0)),"")</f>
        <v>Pack arnes talla S</v>
      </c>
      <c r="Q11" s="11">
        <f t="shared" si="1"/>
        <v>4</v>
      </c>
      <c r="R11" s="11"/>
      <c r="S11" s="68">
        <f t="shared" si="2"/>
        <v>48000</v>
      </c>
      <c r="T11" s="51">
        <f t="shared" si="3"/>
        <v>42320</v>
      </c>
    </row>
    <row r="12" spans="1:20" x14ac:dyDescent="0.3">
      <c r="A12" s="95" t="str" cm="1">
        <f t="array" ref="A12">IFERROR(INDEX(datatypes!$A$2:$A$200,MATCH(0,INDEX(COUNTIF($A$4:A11,datatypes!$A$2:$A$200),0,0),0)),"")</f>
        <v>Pack arnes talla M</v>
      </c>
      <c r="B12" s="4">
        <f>analitics!I12</f>
        <v>3</v>
      </c>
      <c r="C12" s="24">
        <f>analitics!J12</f>
        <v>12000</v>
      </c>
      <c r="D12" s="8">
        <f t="shared" ref="D12:D23" si="6">B12*C12</f>
        <v>36000</v>
      </c>
      <c r="E12" s="21">
        <f>analitics!X12</f>
        <v>0.80166666666666664</v>
      </c>
      <c r="G12" s="95" t="str" cm="1">
        <f t="array" ref="G12">IFERROR(INDEX(datatypes!$A$2:$A$200,MATCH(0,INDEX(COUNTIF($G$4:G11,datatypes!$A$2:$A$200),0,0),0)),"")</f>
        <v>Pack arnes talla M</v>
      </c>
      <c r="H12" s="4">
        <f>analitics!AE12</f>
        <v>5</v>
      </c>
      <c r="I12" s="24">
        <f>analitics!AF12</f>
        <v>2380</v>
      </c>
      <c r="J12" s="8">
        <f t="shared" ref="J12:J23" si="7">H12*I12</f>
        <v>11900</v>
      </c>
      <c r="L12" s="95" t="str" cm="1">
        <f t="array" ref="L12">IFERROR(INDEX(datatypes!$A$2:$A$200,MATCH(0,INDEX(COUNTIF($L$4:L11,datatypes!$A$2:$A$200),0,0),0)),"")</f>
        <v>Pack arnes talla M</v>
      </c>
      <c r="M12" s="4">
        <f>analitics!AQ12</f>
        <v>2</v>
      </c>
      <c r="N12" s="24">
        <f t="shared" si="0"/>
        <v>4760</v>
      </c>
      <c r="P12" s="99" t="str" cm="1">
        <f t="array" ref="P12">IFERROR(INDEX(datatypes!$A$2:$A$200,MATCH(0,INDEX(COUNTIF($P$4:P11,datatypes!$A$2:$A$200),0,0),0)),"")</f>
        <v>Pack arnes talla M</v>
      </c>
      <c r="Q12" s="11">
        <f t="shared" ref="Q12:Q23" si="8">M12</f>
        <v>2</v>
      </c>
      <c r="R12" s="11"/>
      <c r="S12" s="68">
        <f t="shared" si="2"/>
        <v>24000</v>
      </c>
      <c r="T12" s="51">
        <f t="shared" si="3"/>
        <v>19240</v>
      </c>
    </row>
    <row r="13" spans="1:20" x14ac:dyDescent="0.3">
      <c r="A13" s="95" t="str" cm="1">
        <f t="array" ref="A13">IFERROR(INDEX(datatypes!$A$2:$A$200,MATCH(0,INDEX(COUNTIF($A$4:A12,datatypes!$A$2:$A$200),0,0),0)),"")</f>
        <v>Pack arnes talla L</v>
      </c>
      <c r="B13" s="4">
        <f>analitics!I13</f>
        <v>4</v>
      </c>
      <c r="C13" s="24">
        <f>analitics!J13</f>
        <v>12000</v>
      </c>
      <c r="D13" s="8">
        <f t="shared" si="6"/>
        <v>48000</v>
      </c>
      <c r="E13" s="21">
        <f>analitics!X13</f>
        <v>0.74750000000000005</v>
      </c>
      <c r="F13" s="7"/>
      <c r="G13" s="95" t="str" cm="1">
        <f t="array" ref="G13">IFERROR(INDEX(datatypes!$A$2:$A$200,MATCH(0,INDEX(COUNTIF($G$4:G12,datatypes!$A$2:$A$200),0,0),0)),"")</f>
        <v>Pack arnes talla L</v>
      </c>
      <c r="H13" s="4">
        <f>analitics!AE13</f>
        <v>4</v>
      </c>
      <c r="I13" s="24">
        <f>analitics!AF13</f>
        <v>3030</v>
      </c>
      <c r="J13" s="8">
        <f t="shared" si="7"/>
        <v>12120</v>
      </c>
      <c r="L13" s="95" t="str" cm="1">
        <f t="array" ref="L13">IFERROR(INDEX(datatypes!$A$2:$A$200,MATCH(0,INDEX(COUNTIF($L$4:L12,datatypes!$A$2:$A$200),0,0),0)),"")</f>
        <v>Pack arnes talla L</v>
      </c>
      <c r="M13" s="4">
        <f>analitics!AQ13</f>
        <v>0</v>
      </c>
      <c r="N13" s="24">
        <f t="shared" si="0"/>
        <v>0</v>
      </c>
      <c r="P13" s="99" t="str" cm="1">
        <f t="array" ref="P13">IFERROR(INDEX(datatypes!$A$2:$A$200,MATCH(0,INDEX(COUNTIF($P$4:P12,datatypes!$A$2:$A$200),0,0),0)),"")</f>
        <v>Pack arnes talla L</v>
      </c>
      <c r="Q13" s="11">
        <f t="shared" si="8"/>
        <v>0</v>
      </c>
      <c r="R13" s="11"/>
      <c r="S13" s="68">
        <f t="shared" si="2"/>
        <v>0</v>
      </c>
      <c r="T13" s="51">
        <f t="shared" si="3"/>
        <v>0</v>
      </c>
    </row>
    <row r="14" spans="1:20" x14ac:dyDescent="0.3">
      <c r="A14" s="95" t="str" cm="1">
        <f t="array" ref="A14">IFERROR(INDEX(datatypes!$A$2:$A$200,MATCH(0,INDEX(COUNTIF($A$4:A13,datatypes!$A$2:$A$200),0,0),0)),"")</f>
        <v>Pack arnes talla XL</v>
      </c>
      <c r="B14" s="4">
        <f>analitics!I14</f>
        <v>0</v>
      </c>
      <c r="C14" s="24">
        <f>analitics!J14</f>
        <v>0</v>
      </c>
      <c r="D14" s="8">
        <f t="shared" si="6"/>
        <v>0</v>
      </c>
      <c r="E14" s="21">
        <f>analitics!X14</f>
        <v>0</v>
      </c>
      <c r="F14" s="7"/>
      <c r="G14" s="95" t="str" cm="1">
        <f t="array" ref="G14">IFERROR(INDEX(datatypes!$A$2:$A$200,MATCH(0,INDEX(COUNTIF($G$4:G13,datatypes!$A$2:$A$200),0,0),0)),"")</f>
        <v>Pack arnes talla XL</v>
      </c>
      <c r="H14" s="4">
        <f>analitics!AE14</f>
        <v>0</v>
      </c>
      <c r="I14" s="24">
        <f>analitics!AF14</f>
        <v>0</v>
      </c>
      <c r="J14" s="8">
        <f t="shared" si="7"/>
        <v>0</v>
      </c>
      <c r="L14" s="95" t="str" cm="1">
        <f t="array" ref="L14">IFERROR(INDEX(datatypes!$A$2:$A$200,MATCH(0,INDEX(COUNTIF($L$4:L13,datatypes!$A$2:$A$200),0,0),0)),"")</f>
        <v>Pack arnes talla XL</v>
      </c>
      <c r="M14" s="4">
        <f>analitics!AQ14</f>
        <v>0</v>
      </c>
      <c r="N14" s="24">
        <f t="shared" si="0"/>
        <v>0</v>
      </c>
      <c r="P14" s="99" t="str" cm="1">
        <f t="array" ref="P14">IFERROR(INDEX(datatypes!$A$2:$A$200,MATCH(0,INDEX(COUNTIF($P$4:P13,datatypes!$A$2:$A$200),0,0),0)),"")</f>
        <v>Pack arnes talla XL</v>
      </c>
      <c r="Q14" s="11">
        <f t="shared" si="8"/>
        <v>0</v>
      </c>
      <c r="R14" s="11"/>
      <c r="S14" s="68">
        <f t="shared" si="2"/>
        <v>0</v>
      </c>
      <c r="T14" s="51">
        <f t="shared" si="3"/>
        <v>0</v>
      </c>
    </row>
    <row r="15" spans="1:20" x14ac:dyDescent="0.3">
      <c r="A15" s="95" t="str" cm="1">
        <f t="array" ref="A15">IFERROR(INDEX(datatypes!$A$2:$A$200,MATCH(0,INDEX(COUNTIF($A$4:A14,datatypes!$A$2:$A$200),0,0),0)),"")</f>
        <v>Pechera M</v>
      </c>
      <c r="B15" s="4">
        <f>analitics!I15</f>
        <v>5</v>
      </c>
      <c r="C15" s="24">
        <f>analitics!J15</f>
        <v>10000</v>
      </c>
      <c r="D15" s="8">
        <f t="shared" si="6"/>
        <v>50000</v>
      </c>
      <c r="E15" s="21">
        <f>analitics!X15</f>
        <v>0.81100000000000005</v>
      </c>
      <c r="F15" s="7"/>
      <c r="G15" s="95" t="str" cm="1">
        <f t="array" ref="G15">IFERROR(INDEX(datatypes!$A$2:$A$200,MATCH(0,INDEX(COUNTIF($G$4:G14,datatypes!$A$2:$A$200),0,0),0)),"")</f>
        <v>Pechera M</v>
      </c>
      <c r="H15" s="4">
        <f>analitics!AE15</f>
        <v>5</v>
      </c>
      <c r="I15" s="24">
        <f>analitics!AF15</f>
        <v>1890</v>
      </c>
      <c r="J15" s="8">
        <f t="shared" si="7"/>
        <v>9450</v>
      </c>
      <c r="L15" s="95" t="str" cm="1">
        <f t="array" ref="L15">IFERROR(INDEX(datatypes!$A$2:$A$200,MATCH(0,INDEX(COUNTIF($L$4:L14,datatypes!$A$2:$A$200),0,0),0)),"")</f>
        <v>Pechera M</v>
      </c>
      <c r="M15" s="4">
        <f>analitics!AQ15</f>
        <v>0</v>
      </c>
      <c r="N15" s="24">
        <f t="shared" si="0"/>
        <v>0</v>
      </c>
      <c r="P15" s="99" t="str" cm="1">
        <f t="array" ref="P15">IFERROR(INDEX(datatypes!$A$2:$A$200,MATCH(0,INDEX(COUNTIF($P$4:P14,datatypes!$A$2:$A$200),0,0),0)),"")</f>
        <v>Pechera M</v>
      </c>
      <c r="Q15" s="11">
        <f t="shared" si="8"/>
        <v>0</v>
      </c>
      <c r="R15" s="11"/>
      <c r="S15" s="68">
        <f t="shared" si="2"/>
        <v>0</v>
      </c>
      <c r="T15" s="51">
        <f t="shared" si="3"/>
        <v>0</v>
      </c>
    </row>
    <row r="16" spans="1:20" x14ac:dyDescent="0.3">
      <c r="A16" s="95" t="str" cm="1">
        <f t="array" ref="A16">IFERROR(INDEX(datatypes!$A$2:$A$200,MATCH(0,INDEX(COUNTIF($A$4:A15,datatypes!$A$2:$A$200),0,0),0)),"")</f>
        <v>Pechera L</v>
      </c>
      <c r="B16" s="4">
        <f>analitics!I16</f>
        <v>4</v>
      </c>
      <c r="C16" s="24">
        <f>analitics!J16</f>
        <v>10000</v>
      </c>
      <c r="D16" s="8">
        <f t="shared" si="6"/>
        <v>40000</v>
      </c>
      <c r="E16" s="21">
        <f>analitics!X16</f>
        <v>0.81100000000000005</v>
      </c>
      <c r="F16" s="7"/>
      <c r="G16" s="95" t="str" cm="1">
        <f t="array" ref="G16">IFERROR(INDEX(datatypes!$A$2:$A$200,MATCH(0,INDEX(COUNTIF($G$4:G15,datatypes!$A$2:$A$200),0,0),0)),"")</f>
        <v>Pechera L</v>
      </c>
      <c r="H16" s="4">
        <f>analitics!AE16</f>
        <v>5</v>
      </c>
      <c r="I16" s="24">
        <f>analitics!AF16</f>
        <v>1890</v>
      </c>
      <c r="J16" s="8">
        <f t="shared" si="7"/>
        <v>9450</v>
      </c>
      <c r="L16" s="95" t="str" cm="1">
        <f t="array" ref="L16">IFERROR(INDEX(datatypes!$A$2:$A$200,MATCH(0,INDEX(COUNTIF($L$4:L15,datatypes!$A$2:$A$200),0,0),0)),"")</f>
        <v>Pechera L</v>
      </c>
      <c r="M16" s="4">
        <f>analitics!AQ16</f>
        <v>1</v>
      </c>
      <c r="N16" s="24">
        <f t="shared" si="0"/>
        <v>1890</v>
      </c>
      <c r="P16" s="99" t="str" cm="1">
        <f t="array" ref="P16">IFERROR(INDEX(datatypes!$A$2:$A$200,MATCH(0,INDEX(COUNTIF($P$4:P15,datatypes!$A$2:$A$200),0,0),0)),"")</f>
        <v>Pechera L</v>
      </c>
      <c r="Q16" s="11">
        <f t="shared" si="8"/>
        <v>1</v>
      </c>
      <c r="R16" s="11"/>
      <c r="S16" s="68">
        <f t="shared" si="2"/>
        <v>10000</v>
      </c>
      <c r="T16" s="51">
        <f t="shared" si="3"/>
        <v>8110</v>
      </c>
    </row>
    <row r="17" spans="1:20" x14ac:dyDescent="0.3">
      <c r="A17" s="95" t="str" cm="1">
        <f t="array" ref="A17">IFERROR(INDEX(datatypes!$A$2:$A$200,MATCH(0,INDEX(COUNTIF($A$4:A16,datatypes!$A$2:$A$200),0,0),0)),"")</f>
        <v>Collar gato mostacilla</v>
      </c>
      <c r="B17" s="4">
        <f>analitics!I17</f>
        <v>0</v>
      </c>
      <c r="C17" s="24">
        <f>analitics!J17</f>
        <v>0</v>
      </c>
      <c r="D17" s="8">
        <f t="shared" si="6"/>
        <v>0</v>
      </c>
      <c r="E17" s="21">
        <f>analitics!X17</f>
        <v>0</v>
      </c>
      <c r="F17" s="7"/>
      <c r="G17" s="95" t="str" cm="1">
        <f t="array" ref="G17">IFERROR(INDEX(datatypes!$A$2:$A$200,MATCH(0,INDEX(COUNTIF($G$4:G16,datatypes!$A$2:$A$200),0,0),0)),"")</f>
        <v>Collar gato mostacilla</v>
      </c>
      <c r="H17" s="4">
        <f>analitics!AE17</f>
        <v>5</v>
      </c>
      <c r="I17" s="24">
        <f>analitics!AF17</f>
        <v>550</v>
      </c>
      <c r="J17" s="8">
        <f t="shared" si="7"/>
        <v>2750</v>
      </c>
      <c r="L17" s="95" t="str" cm="1">
        <f t="array" ref="L17">IFERROR(INDEX(datatypes!$A$2:$A$200,MATCH(0,INDEX(COUNTIF($L$4:L16,datatypes!$A$2:$A$200),0,0),0)),"")</f>
        <v>Collar gato mostacilla</v>
      </c>
      <c r="M17" s="4">
        <f>analitics!AQ17</f>
        <v>5</v>
      </c>
      <c r="N17" s="24">
        <f t="shared" si="0"/>
        <v>2750</v>
      </c>
      <c r="P17" s="99" t="str" cm="1">
        <f t="array" ref="P17">IFERROR(INDEX(datatypes!$A$2:$A$200,MATCH(0,INDEX(COUNTIF($P$4:P16,datatypes!$A$2:$A$200),0,0),0)),"")</f>
        <v>Collar gato mostacilla</v>
      </c>
      <c r="Q17" s="11">
        <f t="shared" si="8"/>
        <v>5</v>
      </c>
      <c r="R17" s="11">
        <v>7000</v>
      </c>
      <c r="S17" s="68">
        <f t="shared" si="2"/>
        <v>35000</v>
      </c>
      <c r="T17" s="51">
        <f t="shared" si="3"/>
        <v>32250</v>
      </c>
    </row>
    <row r="18" spans="1:20" x14ac:dyDescent="0.3">
      <c r="A18" s="95" t="str" cm="1">
        <f t="array" ref="A18">IFERROR(INDEX(datatypes!$A$2:$A$200,MATCH(0,INDEX(COUNTIF($A$4:A17,datatypes!$A$2:$A$200),0,0),0)),"")</f>
        <v>Collar de tela perro</v>
      </c>
      <c r="B18" s="4">
        <f>analitics!I18</f>
        <v>2</v>
      </c>
      <c r="C18" s="24">
        <f>analitics!J18</f>
        <v>6000</v>
      </c>
      <c r="D18" s="8">
        <f t="shared" si="6"/>
        <v>12000</v>
      </c>
      <c r="E18" s="21">
        <f>analitics!X18</f>
        <v>0.83010752688172051</v>
      </c>
      <c r="F18" s="7"/>
      <c r="G18" s="95" t="str" cm="1">
        <f t="array" ref="G18">IFERROR(INDEX(datatypes!$A$2:$A$200,MATCH(0,INDEX(COUNTIF($G$4:G17,datatypes!$A$2:$A$200),0,0),0)),"")</f>
        <v>Collar de tela perro</v>
      </c>
      <c r="H18" s="4">
        <f>analitics!AE18</f>
        <v>31</v>
      </c>
      <c r="I18" s="24">
        <f>analitics!AF18</f>
        <v>1019.3548387096774</v>
      </c>
      <c r="J18" s="8">
        <f t="shared" si="7"/>
        <v>31600</v>
      </c>
      <c r="L18" s="95" t="str" cm="1">
        <f t="array" ref="L18">IFERROR(INDEX(datatypes!$A$2:$A$200,MATCH(0,INDEX(COUNTIF($L$4:L17,datatypes!$A$2:$A$200),0,0),0)),"")</f>
        <v>Collar de tela perro</v>
      </c>
      <c r="M18" s="4">
        <f>analitics!AQ18</f>
        <v>29</v>
      </c>
      <c r="N18" s="24">
        <f t="shared" si="0"/>
        <v>29561.290322580644</v>
      </c>
      <c r="P18" s="99" t="str" cm="1">
        <f t="array" ref="P18">IFERROR(INDEX(datatypes!$A$2:$A$200,MATCH(0,INDEX(COUNTIF($P$4:P17,datatypes!$A$2:$A$200),0,0),0)),"")</f>
        <v>Collar de tela perro</v>
      </c>
      <c r="Q18" s="11">
        <f t="shared" si="8"/>
        <v>29</v>
      </c>
      <c r="R18" s="11"/>
      <c r="S18" s="68">
        <f t="shared" si="2"/>
        <v>174000</v>
      </c>
      <c r="T18" s="51">
        <f t="shared" si="3"/>
        <v>144438.70967741936</v>
      </c>
    </row>
    <row r="19" spans="1:20" x14ac:dyDescent="0.3">
      <c r="A19" s="95" t="str" cm="1">
        <f t="array" ref="A19">IFERROR(INDEX(datatypes!$A$2:$A$200,MATCH(0,INDEX(COUNTIF($A$4:A18,datatypes!$A$2:$A$200),0,0),0)),"")</f>
        <v>Correa de tela perro</v>
      </c>
      <c r="B19" s="4">
        <f>analitics!I19</f>
        <v>1</v>
      </c>
      <c r="C19" s="24">
        <f>analitics!J19</f>
        <v>6500</v>
      </c>
      <c r="D19" s="8">
        <f t="shared" si="6"/>
        <v>6500</v>
      </c>
      <c r="E19" s="21">
        <f>analitics!X19</f>
        <v>0.7846153846153846</v>
      </c>
      <c r="F19" s="7"/>
      <c r="G19" s="95" t="str" cm="1">
        <f t="array" ref="G19">IFERROR(INDEX(datatypes!$A$2:$A$200,MATCH(0,INDEX(COUNTIF($G$4:G18,datatypes!$A$2:$A$200),0,0),0)),"")</f>
        <v>Correa de tela perro</v>
      </c>
      <c r="H19" s="4">
        <f>analitics!AE19</f>
        <v>1</v>
      </c>
      <c r="I19" s="24">
        <f>analitics!AF19</f>
        <v>1400</v>
      </c>
      <c r="J19" s="8">
        <f t="shared" si="7"/>
        <v>1400</v>
      </c>
      <c r="L19" s="95" t="str" cm="1">
        <f t="array" ref="L19">IFERROR(INDEX(datatypes!$A$2:$A$200,MATCH(0,INDEX(COUNTIF($L$4:L18,datatypes!$A$2:$A$200),0,0),0)),"")</f>
        <v>Correa de tela perro</v>
      </c>
      <c r="M19" s="4">
        <f>analitics!AQ19</f>
        <v>0</v>
      </c>
      <c r="N19" s="24">
        <f t="shared" si="0"/>
        <v>0</v>
      </c>
      <c r="P19" s="99" t="str" cm="1">
        <f t="array" ref="P19">IFERROR(INDEX(datatypes!$A$2:$A$200,MATCH(0,INDEX(COUNTIF($P$4:P18,datatypes!$A$2:$A$200),0,0),0)),"")</f>
        <v>Correa de tela perro</v>
      </c>
      <c r="Q19" s="11">
        <f t="shared" si="8"/>
        <v>0</v>
      </c>
      <c r="R19" s="11"/>
      <c r="S19" s="68">
        <f t="shared" si="2"/>
        <v>0</v>
      </c>
      <c r="T19" s="51">
        <f t="shared" si="3"/>
        <v>0</v>
      </c>
    </row>
    <row r="20" spans="1:20" x14ac:dyDescent="0.3">
      <c r="A20" s="95" t="str" cm="1">
        <f t="array" ref="A20">IFERROR(INDEX(datatypes!$A$2:$A$200,MATCH(0,INDEX(COUNTIF($A$4:A19,datatypes!$A$2:$A$200),0,0),0)),"")</f>
        <v>Cama S</v>
      </c>
      <c r="B20" s="4">
        <f>analitics!I20</f>
        <v>4</v>
      </c>
      <c r="C20" s="24">
        <f>analitics!J20</f>
        <v>20000</v>
      </c>
      <c r="D20" s="8">
        <f t="shared" si="6"/>
        <v>80000</v>
      </c>
      <c r="E20" s="21">
        <f>analitics!X20</f>
        <v>0.65</v>
      </c>
      <c r="F20" s="7"/>
      <c r="G20" s="95" t="str" cm="1">
        <f t="array" ref="G20">IFERROR(INDEX(datatypes!$A$2:$A$200,MATCH(0,INDEX(COUNTIF($G$4:G19,datatypes!$A$2:$A$200),0,0),0)),"")</f>
        <v>Cama S</v>
      </c>
      <c r="H20" s="4">
        <f>analitics!AE20</f>
        <v>6</v>
      </c>
      <c r="I20" s="24">
        <f>analitics!AF20</f>
        <v>7000</v>
      </c>
      <c r="J20" s="8">
        <f t="shared" si="7"/>
        <v>42000</v>
      </c>
      <c r="L20" s="95" t="str" cm="1">
        <f t="array" ref="L20">IFERROR(INDEX(datatypes!$A$2:$A$200,MATCH(0,INDEX(COUNTIF($L$4:L19,datatypes!$A$2:$A$200),0,0),0)),"")</f>
        <v>Cama S</v>
      </c>
      <c r="M20" s="4">
        <f>analitics!AQ20</f>
        <v>2</v>
      </c>
      <c r="N20" s="24">
        <f t="shared" si="0"/>
        <v>14000</v>
      </c>
      <c r="P20" s="99" t="str" cm="1">
        <f t="array" ref="P20">IFERROR(INDEX(datatypes!$A$2:$A$200,MATCH(0,INDEX(COUNTIF($P$4:P19,datatypes!$A$2:$A$200),0,0),0)),"")</f>
        <v>Cama S</v>
      </c>
      <c r="Q20" s="11">
        <f t="shared" si="8"/>
        <v>2</v>
      </c>
      <c r="R20" s="11"/>
      <c r="S20" s="68">
        <f t="shared" si="2"/>
        <v>40000</v>
      </c>
      <c r="T20" s="51">
        <f t="shared" si="3"/>
        <v>26000</v>
      </c>
    </row>
    <row r="21" spans="1:20" x14ac:dyDescent="0.3">
      <c r="A21" s="95" t="str" cm="1">
        <f t="array" ref="A21">IFERROR(INDEX(datatypes!$A$2:$A$200,MATCH(0,INDEX(COUNTIF($A$4:A20,datatypes!$A$2:$A$200),0,0),0)),"")</f>
        <v>Cama M</v>
      </c>
      <c r="B21" s="4">
        <f>analitics!I21</f>
        <v>11</v>
      </c>
      <c r="C21" s="24">
        <f>analitics!J21</f>
        <v>25418.18181818182</v>
      </c>
      <c r="D21" s="8">
        <f t="shared" si="6"/>
        <v>279600</v>
      </c>
      <c r="E21" s="21">
        <f>analitics!X21</f>
        <v>0.60960713106635855</v>
      </c>
      <c r="F21" s="7"/>
      <c r="G21" s="95" t="str" cm="1">
        <f t="array" ref="G21">IFERROR(INDEX(datatypes!$A$2:$A$200,MATCH(0,INDEX(COUNTIF($G$4:G20,datatypes!$A$2:$A$200),0,0),0)),"")</f>
        <v>Cama M</v>
      </c>
      <c r="H21" s="4">
        <f>analitics!AE21</f>
        <v>13</v>
      </c>
      <c r="I21" s="24">
        <f>analitics!AF21</f>
        <v>9923.0769230769238</v>
      </c>
      <c r="J21" s="8">
        <f t="shared" si="7"/>
        <v>129000.00000000001</v>
      </c>
      <c r="L21" s="95" t="str" cm="1">
        <f t="array" ref="L21">IFERROR(INDEX(datatypes!$A$2:$A$200,MATCH(0,INDEX(COUNTIF($L$4:L20,datatypes!$A$2:$A$200),0,0),0)),"")</f>
        <v>Cama M</v>
      </c>
      <c r="M21" s="4">
        <f>analitics!AQ21</f>
        <v>2</v>
      </c>
      <c r="N21" s="24">
        <f t="shared" si="0"/>
        <v>19846.153846153848</v>
      </c>
      <c r="P21" s="99" t="str" cm="1">
        <f t="array" ref="P21">IFERROR(INDEX(datatypes!$A$2:$A$200,MATCH(0,INDEX(COUNTIF($P$4:P20,datatypes!$A$2:$A$200),0,0),0)),"")</f>
        <v>Cama M</v>
      </c>
      <c r="Q21" s="11">
        <f t="shared" si="8"/>
        <v>2</v>
      </c>
      <c r="R21" s="11"/>
      <c r="S21" s="68">
        <f t="shared" si="2"/>
        <v>50836.36363636364</v>
      </c>
      <c r="T21" s="51">
        <f t="shared" si="3"/>
        <v>30990.209790209792</v>
      </c>
    </row>
    <row r="22" spans="1:20" x14ac:dyDescent="0.3">
      <c r="A22" s="95" t="str" cm="1">
        <f t="array" ref="A22">IFERROR(INDEX(datatypes!$A$2:$A$200,MATCH(0,INDEX(COUNTIF($A$4:A21,datatypes!$A$2:$A$200),0,0),0)),"")</f>
        <v>Cama L</v>
      </c>
      <c r="B22" s="4">
        <f>analitics!I22</f>
        <v>7</v>
      </c>
      <c r="C22" s="24">
        <f>analitics!J22</f>
        <v>29942.857142857141</v>
      </c>
      <c r="D22" s="8">
        <f t="shared" si="6"/>
        <v>209600</v>
      </c>
      <c r="E22" s="21">
        <f>analitics!X22</f>
        <v>0.56583969465648853</v>
      </c>
      <c r="F22" s="7"/>
      <c r="G22" s="95" t="str" cm="1">
        <f t="array" ref="G22">IFERROR(INDEX(datatypes!$A$2:$A$200,MATCH(0,INDEX(COUNTIF($G$4:G21,datatypes!$A$2:$A$200),0,0),0)),"")</f>
        <v>Cama L</v>
      </c>
      <c r="H22" s="4">
        <f>analitics!AE22</f>
        <v>13</v>
      </c>
      <c r="I22" s="24">
        <f>analitics!AF22</f>
        <v>13000</v>
      </c>
      <c r="J22" s="8">
        <f t="shared" si="7"/>
        <v>169000</v>
      </c>
      <c r="L22" s="95" t="str" cm="1">
        <f t="array" ref="L22">IFERROR(INDEX(datatypes!$A$2:$A$200,MATCH(0,INDEX(COUNTIF($L$4:L21,datatypes!$A$2:$A$200),0,0),0)),"")</f>
        <v>Cama L</v>
      </c>
      <c r="M22" s="4">
        <f>analitics!AQ22</f>
        <v>6</v>
      </c>
      <c r="N22" s="24">
        <f t="shared" si="0"/>
        <v>78000</v>
      </c>
      <c r="P22" s="99" t="str" cm="1">
        <f t="array" ref="P22">IFERROR(INDEX(datatypes!$A$2:$A$200,MATCH(0,INDEX(COUNTIF($P$4:P21,datatypes!$A$2:$A$200),0,0),0)),"")</f>
        <v>Cama L</v>
      </c>
      <c r="Q22" s="11">
        <f t="shared" si="8"/>
        <v>6</v>
      </c>
      <c r="R22" s="11"/>
      <c r="S22" s="68">
        <f t="shared" si="2"/>
        <v>179657.14285714284</v>
      </c>
      <c r="T22" s="51">
        <f t="shared" si="3"/>
        <v>101657.14285714284</v>
      </c>
    </row>
    <row r="23" spans="1:20" x14ac:dyDescent="0.3">
      <c r="A23" s="95" t="str" cm="1">
        <f t="array" ref="A23">IFERROR(INDEX(datatypes!$A$2:$A$200,MATCH(0,INDEX(COUNTIF($A$4:A22,datatypes!$A$2:$A$200),0,0),0)),"")</f>
        <v>Cama XL</v>
      </c>
      <c r="B23" s="4">
        <f>analitics!I23</f>
        <v>13</v>
      </c>
      <c r="C23" s="24">
        <f>analitics!J23</f>
        <v>37646.153846153844</v>
      </c>
      <c r="D23" s="8">
        <f t="shared" si="6"/>
        <v>489400</v>
      </c>
      <c r="E23" s="21">
        <f>analitics!X23</f>
        <v>0.56082277618853016</v>
      </c>
      <c r="F23" s="7"/>
      <c r="G23" s="95" t="str" cm="1">
        <f t="array" ref="G23">IFERROR(INDEX(datatypes!$A$2:$A$200,MATCH(0,INDEX(COUNTIF($G$4:G22,datatypes!$A$2:$A$200),0,0),0)),"")</f>
        <v>Cama XL</v>
      </c>
      <c r="H23" s="4">
        <f>analitics!AE23</f>
        <v>15</v>
      </c>
      <c r="I23" s="24">
        <f>analitics!AF23</f>
        <v>16533.333333333332</v>
      </c>
      <c r="J23" s="8">
        <f t="shared" si="7"/>
        <v>247999.99999999997</v>
      </c>
      <c r="L23" s="95" t="str" cm="1">
        <f t="array" ref="L23">IFERROR(INDEX(datatypes!$A$2:$A$200,MATCH(0,INDEX(COUNTIF($L$4:L22,datatypes!$A$2:$A$200),0,0),0)),"")</f>
        <v>Cama XL</v>
      </c>
      <c r="M23" s="4">
        <f>analitics!AQ23</f>
        <v>2</v>
      </c>
      <c r="N23" s="24">
        <f t="shared" si="0"/>
        <v>33066.666666666664</v>
      </c>
      <c r="P23" s="99" t="str" cm="1">
        <f t="array" ref="P23">IFERROR(INDEX(datatypes!$A$2:$A$200,MATCH(0,INDEX(COUNTIF($P$4:P22,datatypes!$A$2:$A$200),0,0),0)),"")</f>
        <v>Cama XL</v>
      </c>
      <c r="Q23" s="11">
        <f t="shared" si="8"/>
        <v>2</v>
      </c>
      <c r="R23" s="11"/>
      <c r="S23" s="68">
        <f t="shared" si="2"/>
        <v>75292.307692307688</v>
      </c>
      <c r="T23" s="51">
        <f t="shared" si="3"/>
        <v>42225.641025641024</v>
      </c>
    </row>
    <row r="24" spans="1:20" x14ac:dyDescent="0.3">
      <c r="A24" s="95" t="str" cm="1">
        <f t="array" ref="A24">IFERROR(INDEX(datatypes!$A$2:$A$200,MATCH(0,INDEX(COUNTIF($A$4:A23,datatypes!$A$2:$A$200),0,0),0)),"")</f>
        <v>ARNES L</v>
      </c>
      <c r="B24" s="4">
        <f>analitics!I24</f>
        <v>1</v>
      </c>
      <c r="C24" s="24">
        <f>analitics!J24</f>
        <v>6000</v>
      </c>
      <c r="D24" s="8">
        <f t="shared" ref="D24:D32" si="9">B24*C24</f>
        <v>6000</v>
      </c>
      <c r="E24" s="21">
        <f>analitics!X24</f>
        <v>0.60499999999999998</v>
      </c>
      <c r="G24" s="95" t="str" cm="1">
        <f t="array" ref="G24">IFERROR(INDEX(datatypes!$A$2:$A$200,MATCH(0,INDEX(COUNTIF($G$4:G23,datatypes!$A$2:$A$200),0,0),0)),"")</f>
        <v>ARNES L</v>
      </c>
      <c r="H24" s="4">
        <f>analitics!AE24</f>
        <v>5</v>
      </c>
      <c r="I24" s="24">
        <f>analitics!AF24</f>
        <v>2370</v>
      </c>
      <c r="J24" s="8">
        <f t="shared" ref="J24:J30" si="10">H24*I24</f>
        <v>11850</v>
      </c>
      <c r="L24" s="95" t="str" cm="1">
        <f t="array" ref="L24">IFERROR(INDEX(datatypes!$A$2:$A$200,MATCH(0,INDEX(COUNTIF($L$4:L23,datatypes!$A$2:$A$200),0,0),0)),"")</f>
        <v>ARNES L</v>
      </c>
      <c r="M24" s="4">
        <f>analitics!AQ24</f>
        <v>4</v>
      </c>
      <c r="N24" s="24">
        <f t="shared" si="0"/>
        <v>9480</v>
      </c>
      <c r="P24" s="99" t="str" cm="1">
        <f t="array" ref="P24">IFERROR(INDEX(datatypes!$A$2:$A$200,MATCH(0,INDEX(COUNTIF($P$4:P23,datatypes!$A$2:$A$200),0,0),0)),"")</f>
        <v>ARNES L</v>
      </c>
      <c r="Q24" s="11">
        <f t="shared" ref="Q24:Q30" si="11">M24</f>
        <v>4</v>
      </c>
      <c r="R24" s="11"/>
      <c r="S24" s="68">
        <f>IF(R24&lt;&gt;"",R24*Q24,Q24*C33)</f>
        <v>0</v>
      </c>
      <c r="T24" s="51">
        <f t="shared" ref="T24:T30" si="12">S24-N24</f>
        <v>-9480</v>
      </c>
    </row>
    <row r="25" spans="1:20" x14ac:dyDescent="0.3">
      <c r="A25" s="95" t="str" cm="1">
        <f t="array" ref="A25">IFERROR(INDEX(datatypes!$A$2:$A$200,MATCH(0,INDEX(COUNTIF($A$4:A24,datatypes!$A$2:$A$200),0,0),0)),"")</f>
        <v>CORREA L</v>
      </c>
      <c r="B25" s="4">
        <f>analitics!I25</f>
        <v>1</v>
      </c>
      <c r="C25" s="24">
        <f>analitics!J25</f>
        <v>6000</v>
      </c>
      <c r="D25" s="8">
        <f t="shared" si="9"/>
        <v>6000</v>
      </c>
      <c r="E25" s="21">
        <f>analitics!X25</f>
        <v>0.72166666666666668</v>
      </c>
      <c r="G25" s="95" t="str" cm="1">
        <f t="array" ref="G25">IFERROR(INDEX(datatypes!$A$2:$A$200,MATCH(0,INDEX(COUNTIF($G$4:G24,datatypes!$A$2:$A$200),0,0),0)),"")</f>
        <v>CORREA L</v>
      </c>
      <c r="H25" s="4">
        <f>analitics!AE25</f>
        <v>5</v>
      </c>
      <c r="I25" s="24">
        <f>analitics!AF25</f>
        <v>1670</v>
      </c>
      <c r="J25" s="8">
        <f t="shared" si="10"/>
        <v>8350</v>
      </c>
      <c r="L25" s="95" t="str" cm="1">
        <f t="array" ref="L25">IFERROR(INDEX(datatypes!$A$2:$A$200,MATCH(0,INDEX(COUNTIF($L$4:L24,datatypes!$A$2:$A$200),0,0),0)),"")</f>
        <v>CORREA L</v>
      </c>
      <c r="M25" s="4">
        <f>analitics!AQ25</f>
        <v>4</v>
      </c>
      <c r="N25" s="24">
        <f t="shared" si="0"/>
        <v>6680</v>
      </c>
      <c r="P25" s="99" t="str" cm="1">
        <f t="array" ref="P25">IFERROR(INDEX(datatypes!$A$2:$A$200,MATCH(0,INDEX(COUNTIF($P$4:P24,datatypes!$A$2:$A$200),0,0),0)),"")</f>
        <v>CORREA L</v>
      </c>
      <c r="Q25" s="11">
        <f t="shared" si="11"/>
        <v>4</v>
      </c>
      <c r="R25" s="11"/>
      <c r="S25" s="68">
        <f t="shared" ref="S25:S30" si="13">IF(R25&lt;&gt;"",R25*Q25,Q25*C25)</f>
        <v>24000</v>
      </c>
      <c r="T25" s="51">
        <f t="shared" si="12"/>
        <v>17320</v>
      </c>
    </row>
    <row r="26" spans="1:20" x14ac:dyDescent="0.3">
      <c r="A26" s="95" t="str" cm="1">
        <f t="array" ref="A26">IFERROR(INDEX(datatypes!$A$2:$A$200,MATCH(0,INDEX(COUNTIF($A$4:A25,datatypes!$A$2:$A$200),0,0),0)),"")</f>
        <v>ARNES M</v>
      </c>
      <c r="B26" s="4">
        <f>analitics!I26</f>
        <v>1</v>
      </c>
      <c r="C26" s="24">
        <f>analitics!J26</f>
        <v>6000</v>
      </c>
      <c r="D26" s="8">
        <f t="shared" si="9"/>
        <v>6000</v>
      </c>
      <c r="E26" s="21">
        <f>analitics!X26</f>
        <v>0.68333333333333335</v>
      </c>
      <c r="G26" s="95" t="str" cm="1">
        <f t="array" ref="G26">IFERROR(INDEX(datatypes!$A$2:$A$200,MATCH(0,INDEX(COUNTIF($G$4:G25,datatypes!$A$2:$A$200),0,0),0)),"")</f>
        <v>ARNES M</v>
      </c>
      <c r="H26" s="4">
        <f>analitics!AE26</f>
        <v>5</v>
      </c>
      <c r="I26" s="24">
        <f>analitics!AF26</f>
        <v>1900</v>
      </c>
      <c r="J26" s="8">
        <f t="shared" si="10"/>
        <v>9500</v>
      </c>
      <c r="L26" s="95" t="str" cm="1">
        <f t="array" ref="L26">IFERROR(INDEX(datatypes!$A$2:$A$200,MATCH(0,INDEX(COUNTIF($L$4:L25,datatypes!$A$2:$A$200),0,0),0)),"")</f>
        <v>ARNES M</v>
      </c>
      <c r="M26" s="4">
        <f>analitics!AQ26</f>
        <v>4</v>
      </c>
      <c r="N26" s="24">
        <f t="shared" si="0"/>
        <v>7600</v>
      </c>
      <c r="P26" s="99" t="str" cm="1">
        <f t="array" ref="P26">IFERROR(INDEX(datatypes!$A$2:$A$200,MATCH(0,INDEX(COUNTIF($P$4:P25,datatypes!$A$2:$A$200),0,0),0)),"")</f>
        <v>ARNES M</v>
      </c>
      <c r="Q26" s="11">
        <f t="shared" si="11"/>
        <v>4</v>
      </c>
      <c r="R26" s="11"/>
      <c r="S26" s="68">
        <f t="shared" si="13"/>
        <v>24000</v>
      </c>
      <c r="T26" s="51">
        <f t="shared" si="12"/>
        <v>16400</v>
      </c>
    </row>
    <row r="27" spans="1:20" x14ac:dyDescent="0.3">
      <c r="A27" s="95" t="str" cm="1">
        <f t="array" ref="A27">IFERROR(INDEX(datatypes!$A$2:$A$200,MATCH(0,INDEX(COUNTIF($A$4:A26,datatypes!$A$2:$A$200),0,0),0)),"")</f>
        <v>CORREA M</v>
      </c>
      <c r="B27" s="4">
        <f>analitics!I27</f>
        <v>1</v>
      </c>
      <c r="C27" s="24">
        <f>analitics!J27</f>
        <v>6000</v>
      </c>
      <c r="D27" s="8">
        <f t="shared" si="9"/>
        <v>6000</v>
      </c>
      <c r="E27" s="21">
        <f>analitics!X27</f>
        <v>0.86333333333333329</v>
      </c>
      <c r="G27" s="95" t="str" cm="1">
        <f t="array" ref="G27">IFERROR(INDEX(datatypes!$A$2:$A$200,MATCH(0,INDEX(COUNTIF($G$4:G26,datatypes!$A$2:$A$200),0,0),0)),"")</f>
        <v>CORREA M</v>
      </c>
      <c r="H27" s="4">
        <f>analitics!AE27</f>
        <v>5</v>
      </c>
      <c r="I27" s="24">
        <f>analitics!AF27</f>
        <v>820</v>
      </c>
      <c r="J27" s="8">
        <f t="shared" si="10"/>
        <v>4100</v>
      </c>
      <c r="L27" s="95" t="str" cm="1">
        <f t="array" ref="L27">IFERROR(INDEX(datatypes!$A$2:$A$200,MATCH(0,INDEX(COUNTIF($L$4:L26,datatypes!$A$2:$A$200),0,0),0)),"")</f>
        <v>CORREA M</v>
      </c>
      <c r="M27" s="4">
        <f>analitics!AQ27</f>
        <v>4</v>
      </c>
      <c r="N27" s="24">
        <f t="shared" si="0"/>
        <v>3280</v>
      </c>
      <c r="P27" s="99" t="str" cm="1">
        <f t="array" ref="P27">IFERROR(INDEX(datatypes!$A$2:$A$200,MATCH(0,INDEX(COUNTIF($P$4:P26,datatypes!$A$2:$A$200),0,0),0)),"")</f>
        <v>CORREA M</v>
      </c>
      <c r="Q27" s="11">
        <f t="shared" si="11"/>
        <v>4</v>
      </c>
      <c r="R27" s="11"/>
      <c r="S27" s="68">
        <f t="shared" si="13"/>
        <v>24000</v>
      </c>
      <c r="T27" s="51">
        <f t="shared" si="12"/>
        <v>20720</v>
      </c>
    </row>
    <row r="28" spans="1:20" ht="14.4" customHeight="1" x14ac:dyDescent="0.3">
      <c r="A28" s="95" t="str" cm="1">
        <f t="array" ref="A28">IFERROR(INDEX(datatypes!$A$2:$A$200,MATCH(0,INDEX(COUNTIF($A$4:A27,datatypes!$A$2:$A$200),0,0),0)),"")</f>
        <v>ARNES S</v>
      </c>
      <c r="B28" s="4">
        <f>analitics!I28</f>
        <v>2</v>
      </c>
      <c r="C28" s="24">
        <f>analitics!J28</f>
        <v>6000</v>
      </c>
      <c r="D28" s="8">
        <f t="shared" si="9"/>
        <v>12000</v>
      </c>
      <c r="E28" s="21">
        <f>analitics!X28</f>
        <v>0.83499999999999996</v>
      </c>
      <c r="G28" s="95" t="str" cm="1">
        <f t="array" ref="G28">IFERROR(INDEX(datatypes!$A$2:$A$200,MATCH(0,INDEX(COUNTIF($G$4:G27,datatypes!$A$2:$A$200),0,0),0)),"")</f>
        <v>ARNES S</v>
      </c>
      <c r="H28" s="4">
        <f>analitics!AE28</f>
        <v>5</v>
      </c>
      <c r="I28" s="24">
        <f>analitics!AF28</f>
        <v>990</v>
      </c>
      <c r="J28" s="8">
        <f t="shared" si="10"/>
        <v>4950</v>
      </c>
      <c r="L28" s="95" t="str" cm="1">
        <f t="array" ref="L28">IFERROR(INDEX(datatypes!$A$2:$A$200,MATCH(0,INDEX(COUNTIF($L$4:L27,datatypes!$A$2:$A$200),0,0),0)),"")</f>
        <v>ARNES S</v>
      </c>
      <c r="M28" s="4">
        <f>analitics!AQ28</f>
        <v>3</v>
      </c>
      <c r="N28" s="24">
        <f t="shared" si="0"/>
        <v>2970</v>
      </c>
      <c r="P28" s="99" t="str" cm="1">
        <f t="array" ref="P28">IFERROR(INDEX(datatypes!$A$2:$A$200,MATCH(0,INDEX(COUNTIF($P$4:P27,datatypes!$A$2:$A$200),0,0),0)),"")</f>
        <v>ARNES S</v>
      </c>
      <c r="Q28" s="11">
        <f t="shared" si="11"/>
        <v>3</v>
      </c>
      <c r="R28" s="11"/>
      <c r="S28" s="68">
        <f t="shared" si="13"/>
        <v>18000</v>
      </c>
      <c r="T28" s="51">
        <f t="shared" si="12"/>
        <v>15030</v>
      </c>
    </row>
    <row r="29" spans="1:20" ht="14.4" customHeight="1" x14ac:dyDescent="0.3">
      <c r="A29" s="95" t="str" cm="1">
        <f t="array" ref="A29">IFERROR(INDEX(datatypes!$A$2:$A$200,MATCH(0,INDEX(COUNTIF($A$4:A28,datatypes!$A$2:$A$200),0,0),0)),"")</f>
        <v>CORREA S</v>
      </c>
      <c r="B29" s="4">
        <f>analitics!I29</f>
        <v>2</v>
      </c>
      <c r="C29" s="24">
        <f>analitics!J29</f>
        <v>6000</v>
      </c>
      <c r="D29" s="8">
        <f t="shared" si="9"/>
        <v>12000</v>
      </c>
      <c r="E29" s="21">
        <f>analitics!X29</f>
        <v>0.83833333333333337</v>
      </c>
      <c r="G29" s="95" t="str" cm="1">
        <f t="array" ref="G29">IFERROR(INDEX(datatypes!$A$2:$A$200,MATCH(0,INDEX(COUNTIF($G$4:G28,datatypes!$A$2:$A$200),0,0),0)),"")</f>
        <v>CORREA S</v>
      </c>
      <c r="H29" s="4">
        <f>analitics!AE29</f>
        <v>5</v>
      </c>
      <c r="I29" s="24">
        <f>analitics!AF29</f>
        <v>970</v>
      </c>
      <c r="J29" s="8">
        <f t="shared" si="10"/>
        <v>4850</v>
      </c>
      <c r="L29" s="95" t="str" cm="1">
        <f t="array" ref="L29">IFERROR(INDEX(datatypes!$A$2:$A$200,MATCH(0,INDEX(COUNTIF($L$4:L28,datatypes!$A$2:$A$200),0,0),0)),"")</f>
        <v>CORREA S</v>
      </c>
      <c r="M29" s="4">
        <f>analitics!AQ29</f>
        <v>3</v>
      </c>
      <c r="N29" s="24">
        <f t="shared" si="0"/>
        <v>2910</v>
      </c>
      <c r="P29" s="99" t="str" cm="1">
        <f t="array" ref="P29">IFERROR(INDEX(datatypes!$A$2:$A$200,MATCH(0,INDEX(COUNTIF($P$4:P28,datatypes!$A$2:$A$200),0,0),0)),"")</f>
        <v>CORREA S</v>
      </c>
      <c r="Q29" s="11">
        <f t="shared" si="11"/>
        <v>3</v>
      </c>
      <c r="R29" s="11"/>
      <c r="S29" s="68">
        <f t="shared" si="13"/>
        <v>18000</v>
      </c>
      <c r="T29" s="51">
        <f t="shared" si="12"/>
        <v>15090</v>
      </c>
    </row>
    <row r="30" spans="1:20" ht="14.4" customHeight="1" x14ac:dyDescent="0.3">
      <c r="A30" s="95" t="str" cm="1">
        <f t="array" ref="A30">IFERROR(INDEX(datatypes!$A$2:$A$200,MATCH(0,INDEX(COUNTIF($A$4:A29,datatypes!$A$2:$A$200),0,0),0)),"")</f>
        <v>EMPAQUE CACA</v>
      </c>
      <c r="B30" s="4">
        <f>analitics!I30</f>
        <v>0</v>
      </c>
      <c r="C30" s="24">
        <f>analitics!J30</f>
        <v>0</v>
      </c>
      <c r="D30" s="8">
        <f t="shared" si="9"/>
        <v>0</v>
      </c>
      <c r="E30" s="21">
        <f>analitics!X30</f>
        <v>0</v>
      </c>
      <c r="G30" s="95" t="str" cm="1">
        <f t="array" ref="G30">IFERROR(INDEX(datatypes!$A$2:$A$200,MATCH(0,INDEX(COUNTIF($G$4:G29,datatypes!$A$2:$A$200),0,0),0)),"")</f>
        <v>EMPAQUE CACA</v>
      </c>
      <c r="H30" s="4">
        <f>analitics!AE30</f>
        <v>5</v>
      </c>
      <c r="I30" s="24">
        <f>analitics!AF30</f>
        <v>1010</v>
      </c>
      <c r="J30" s="8">
        <f t="shared" si="10"/>
        <v>5050</v>
      </c>
      <c r="L30" s="95" t="str" cm="1">
        <f t="array" ref="L30">IFERROR(INDEX(datatypes!$A$2:$A$200,MATCH(0,INDEX(COUNTIF($L$4:L29,datatypes!$A$2:$A$200),0,0),0)),"")</f>
        <v>EMPAQUE CACA</v>
      </c>
      <c r="M30" s="4">
        <f>analitics!AQ30</f>
        <v>5</v>
      </c>
      <c r="N30" s="24">
        <f t="shared" si="0"/>
        <v>5050</v>
      </c>
      <c r="P30" s="99" t="str" cm="1">
        <f t="array" ref="P30">IFERROR(INDEX(datatypes!$A$2:$A$200,MATCH(0,INDEX(COUNTIF($P$4:P29,datatypes!$A$2:$A$200),0,0),0)),"")</f>
        <v>EMPAQUE CACA</v>
      </c>
      <c r="Q30" s="11">
        <f t="shared" si="11"/>
        <v>5</v>
      </c>
      <c r="R30" s="11"/>
      <c r="S30" s="68">
        <f t="shared" si="13"/>
        <v>0</v>
      </c>
      <c r="T30" s="51">
        <f t="shared" si="12"/>
        <v>-5050</v>
      </c>
    </row>
    <row r="31" spans="1:20" ht="14.4" customHeight="1" x14ac:dyDescent="0.3">
      <c r="A31" s="95" t="str" cm="1">
        <f t="array" ref="A31">IFERROR(INDEX(datatypes!$A$2:$A$200,MATCH(0,INDEX(COUNTIF($A$4:A30,datatypes!$A$2:$A$200),0,0),0)),"")</f>
        <v>Collar entrenamiento</v>
      </c>
      <c r="B31" s="4">
        <f>analitics!I31</f>
        <v>3</v>
      </c>
      <c r="C31" s="24">
        <f>analitics!J31</f>
        <v>8900</v>
      </c>
      <c r="D31" s="8">
        <f t="shared" si="9"/>
        <v>26700</v>
      </c>
      <c r="E31" s="21">
        <f>analitics!X31</f>
        <v>0.90337078651685399</v>
      </c>
      <c r="G31" s="95" t="str" cm="1">
        <f t="array" ref="G31">IFERROR(INDEX(datatypes!$A$2:$A$200,MATCH(0,INDEX(COUNTIF($G$4:G30,datatypes!$A$2:$A$200),0,0),0)),"")</f>
        <v>Collar entrenamiento</v>
      </c>
      <c r="H31" s="4">
        <f>analitics!AE31</f>
        <v>5</v>
      </c>
      <c r="I31" s="24">
        <f>analitics!AF31</f>
        <v>860</v>
      </c>
      <c r="J31" s="8">
        <f t="shared" ref="J31" si="14">H31*I31</f>
        <v>4300</v>
      </c>
      <c r="L31" s="95" t="str" cm="1">
        <f t="array" ref="L31">IFERROR(INDEX(datatypes!$A$2:$A$200,MATCH(0,INDEX(COUNTIF($L$4:L30,datatypes!$A$2:$A$200),0,0),0)),"")</f>
        <v>Collar entrenamiento</v>
      </c>
      <c r="M31" s="4">
        <f>analitics!AQ31</f>
        <v>2</v>
      </c>
      <c r="N31" s="24">
        <f t="shared" si="0"/>
        <v>1720</v>
      </c>
      <c r="P31" s="99" t="str" cm="1">
        <f t="array" ref="P31">IFERROR(INDEX(datatypes!$A$2:$A$200,MATCH(0,INDEX(COUNTIF($P$4:P30,datatypes!$A$2:$A$200),0,0),0)),"")</f>
        <v>Collar entrenamiento</v>
      </c>
      <c r="Q31" s="11">
        <f t="shared" ref="Q31:Q32" si="15">M31</f>
        <v>2</v>
      </c>
      <c r="R31" s="11"/>
      <c r="S31" s="68">
        <f t="shared" ref="S31:S32" si="16">IF(R31&lt;&gt;"",R31*Q31,Q31*C31)</f>
        <v>17800</v>
      </c>
      <c r="T31" s="51">
        <f t="shared" ref="T31:T32" si="17">S31-N31</f>
        <v>16080</v>
      </c>
    </row>
    <row r="32" spans="1:20" ht="14.4" customHeight="1" x14ac:dyDescent="0.3">
      <c r="A32" s="95" t="str" cm="1">
        <f t="array" ref="A32">IFERROR(INDEX(datatypes!$A$2:$A$200,MATCH(0,INDEX(COUNTIF($A$4:A31,datatypes!$A$2:$A$200),0,0),0)),"")</f>
        <v>correa entrenamiento</v>
      </c>
      <c r="B32" s="4">
        <f>analitics!I32</f>
        <v>2</v>
      </c>
      <c r="C32" s="24">
        <f>analitics!J32</f>
        <v>7000</v>
      </c>
      <c r="D32" s="8">
        <f t="shared" si="9"/>
        <v>14000</v>
      </c>
      <c r="E32" s="21">
        <f>analitics!X32</f>
        <v>0.8571428571428571</v>
      </c>
      <c r="G32" s="95" t="str" cm="1">
        <f t="array" ref="G32">IFERROR(INDEX(datatypes!$A$2:$A$200,MATCH(0,INDEX(COUNTIF($G$4:G31,datatypes!$A$2:$A$200),0,0),0)),"")</f>
        <v>correa entrenamiento</v>
      </c>
      <c r="H32" s="4">
        <f>analitics!AE32</f>
        <v>4</v>
      </c>
      <c r="I32" s="24">
        <f>analitics!AF32</f>
        <v>1000</v>
      </c>
      <c r="J32" s="8">
        <f t="shared" ref="J32" si="18">H32*I32</f>
        <v>4000</v>
      </c>
      <c r="L32" s="95" t="str" cm="1">
        <f t="array" ref="L32">IFERROR(INDEX(datatypes!$A$2:$A$200,MATCH(0,INDEX(COUNTIF($L$4:L31,datatypes!$A$2:$A$200),0,0),0)),"")</f>
        <v>correa entrenamiento</v>
      </c>
      <c r="M32" s="4">
        <f>analitics!AQ32</f>
        <v>2</v>
      </c>
      <c r="N32" s="24">
        <f t="shared" ref="N32" si="19">M32*I32</f>
        <v>2000</v>
      </c>
      <c r="P32" s="99" t="str" cm="1">
        <f t="array" ref="P32">IFERROR(INDEX(datatypes!$A$2:$A$200,MATCH(0,INDEX(COUNTIF($P$4:P31,datatypes!$A$2:$A$200),0,0),0)),"")</f>
        <v>correa entrenamiento</v>
      </c>
      <c r="Q32" s="11">
        <f t="shared" si="15"/>
        <v>2</v>
      </c>
      <c r="R32" s="11"/>
      <c r="S32" s="68">
        <f t="shared" si="16"/>
        <v>14000</v>
      </c>
      <c r="T32" s="51">
        <f t="shared" si="17"/>
        <v>12000</v>
      </c>
    </row>
    <row r="33" spans="1:20" x14ac:dyDescent="0.3">
      <c r="A33" s="23"/>
      <c r="B33" s="80">
        <f>SUM(B5:B32)</f>
        <v>86</v>
      </c>
      <c r="C33" s="102"/>
      <c r="D33" s="102">
        <f>SUM(D5:D32)</f>
        <v>1553499</v>
      </c>
      <c r="E33" s="101">
        <f>AVERAGE(E5:E32)</f>
        <v>0.64195425921338189</v>
      </c>
      <c r="G33" s="40"/>
      <c r="H33" s="40">
        <f>SUM(H5:H32)</f>
        <v>179</v>
      </c>
      <c r="I33" s="29"/>
      <c r="J33" s="30">
        <f>SUM(J5:J32)</f>
        <v>807010</v>
      </c>
      <c r="L33" s="32" t="s">
        <v>5</v>
      </c>
      <c r="M33" s="32">
        <f>SUM(M5:M32)</f>
        <v>93</v>
      </c>
      <c r="N33" s="43">
        <f>SUM(N5:N32)</f>
        <v>253524.11083540114</v>
      </c>
      <c r="P33" s="63" t="s">
        <v>5</v>
      </c>
      <c r="Q33" s="63">
        <f>SUM(Q5:Q32)</f>
        <v>93</v>
      </c>
      <c r="R33" s="63"/>
      <c r="S33" s="64">
        <f>SUM(S5:S32)</f>
        <v>816285.81418581423</v>
      </c>
      <c r="T33" s="64">
        <f>SUM(T5:T32)</f>
        <v>562761.70335041301</v>
      </c>
    </row>
    <row r="35" spans="1:20" x14ac:dyDescent="0.3">
      <c r="F35" s="7"/>
    </row>
    <row r="36" spans="1:20" x14ac:dyDescent="0.3">
      <c r="F36" s="7"/>
    </row>
    <row r="37" spans="1:20" x14ac:dyDescent="0.3">
      <c r="F37" s="7"/>
    </row>
    <row r="38" spans="1:20" ht="18.75" customHeight="1" x14ac:dyDescent="0.3">
      <c r="F38" s="7"/>
    </row>
    <row r="39" spans="1:20" ht="19.5" customHeight="1" x14ac:dyDescent="0.3">
      <c r="F39" s="7"/>
    </row>
    <row r="40" spans="1:20" x14ac:dyDescent="0.3">
      <c r="F40" s="7"/>
    </row>
    <row r="41" spans="1:20" x14ac:dyDescent="0.3">
      <c r="F41" s="7"/>
      <c r="L41" s="7"/>
    </row>
    <row r="43" spans="1:20" x14ac:dyDescent="0.3">
      <c r="K43" s="8"/>
    </row>
    <row r="45" spans="1:20" ht="15" customHeight="1" x14ac:dyDescent="0.3"/>
    <row r="46" spans="1:20" ht="15.75" customHeight="1" x14ac:dyDescent="0.3"/>
  </sheetData>
  <mergeCells count="4">
    <mergeCell ref="G2:J3"/>
    <mergeCell ref="A2:E3"/>
    <mergeCell ref="L2:N3"/>
    <mergeCell ref="P2:T3"/>
  </mergeCells>
  <conditionalFormatting sqref="M5:M32">
    <cfRule type="cellIs" dxfId="1" priority="4" operator="equal">
      <formula>0</formula>
    </cfRule>
  </conditionalFormatting>
  <conditionalFormatting sqref="D5:D2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{44F10F2C-8E57-47AD-8639-E2D3FFAD30C4}</x14:id>
        </ext>
      </extLst>
    </cfRule>
  </conditionalFormatting>
  <conditionalFormatting sqref="D24:D3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{9F1AC183-7022-453E-A7A0-08ECB2ADD34A}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boton_income">
                <anchor moveWithCells="1" sizeWithCells="1">
                  <from>
                    <xdr:col>20</xdr:col>
                    <xdr:colOff>746760</xdr:colOff>
                    <xdr:row>0</xdr:row>
                    <xdr:rowOff>167640</xdr:rowOff>
                  </from>
                  <to>
                    <xdr:col>22</xdr:col>
                    <xdr:colOff>373380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boton_costos">
                <anchor moveWithCells="1" sizeWithCells="1">
                  <from>
                    <xdr:col>20</xdr:col>
                    <xdr:colOff>723900</xdr:colOff>
                    <xdr:row>4</xdr:row>
                    <xdr:rowOff>137160</xdr:rowOff>
                  </from>
                  <to>
                    <xdr:col>22</xdr:col>
                    <xdr:colOff>358140</xdr:colOff>
                    <xdr:row>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oton_otros">
                <anchor moveWithCells="1" sizeWithCells="1">
                  <from>
                    <xdr:col>20</xdr:col>
                    <xdr:colOff>716280</xdr:colOff>
                    <xdr:row>8</xdr:row>
                    <xdr:rowOff>91440</xdr:rowOff>
                  </from>
                  <to>
                    <xdr:col>22</xdr:col>
                    <xdr:colOff>358140</xdr:colOff>
                    <xdr:row>11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F10F2C-8E57-47AD-8639-E2D3FFAD30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D5:D23</xm:sqref>
        </x14:conditionalFormatting>
        <x14:conditionalFormatting xmlns:xm="http://schemas.microsoft.com/office/excel/2006/main">
          <x14:cfRule type="dataBar" id="{9F1AC183-7022-453E-A7A0-08ECB2ADD3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D24:D32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29"/>
  <sheetViews>
    <sheetView showGridLines="0" tabSelected="1" topLeftCell="A4" zoomScale="85" zoomScaleNormal="85" workbookViewId="0">
      <selection activeCell="D13" sqref="D13"/>
    </sheetView>
  </sheetViews>
  <sheetFormatPr baseColWidth="10" defaultRowHeight="14.4" x14ac:dyDescent="0.3"/>
  <cols>
    <col min="1" max="1" width="20.6640625" bestFit="1" customWidth="1"/>
    <col min="5" max="5" width="15.77734375" bestFit="1" customWidth="1"/>
    <col min="7" max="7" width="18.109375" bestFit="1" customWidth="1"/>
    <col min="10" max="10" width="15.5546875" bestFit="1" customWidth="1"/>
  </cols>
  <sheetData>
    <row r="1" spans="1:11" ht="15" thickBot="1" x14ac:dyDescent="0.35"/>
    <row r="2" spans="1:11" x14ac:dyDescent="0.3">
      <c r="A2" s="134" t="s">
        <v>48</v>
      </c>
      <c r="B2" s="134"/>
      <c r="C2" s="134"/>
      <c r="D2" s="134"/>
      <c r="E2" s="134"/>
      <c r="G2" s="149" t="s">
        <v>83</v>
      </c>
      <c r="H2" s="150"/>
      <c r="I2" s="151"/>
    </row>
    <row r="3" spans="1:11" x14ac:dyDescent="0.3">
      <c r="A3" s="134"/>
      <c r="B3" s="134"/>
      <c r="C3" s="134"/>
      <c r="D3" s="134"/>
      <c r="E3" s="134"/>
      <c r="G3" s="152"/>
      <c r="H3" s="142"/>
      <c r="I3" s="153"/>
    </row>
    <row r="4" spans="1:11" ht="15" thickBot="1" x14ac:dyDescent="0.35">
      <c r="A4" s="5" t="s">
        <v>48</v>
      </c>
      <c r="B4" s="5" t="s">
        <v>43</v>
      </c>
      <c r="C4" s="5" t="s">
        <v>49</v>
      </c>
      <c r="D4" s="5" t="s">
        <v>38</v>
      </c>
      <c r="E4" s="5" t="s">
        <v>59</v>
      </c>
      <c r="G4" s="154"/>
      <c r="H4" s="155"/>
      <c r="I4" s="156"/>
    </row>
    <row r="5" spans="1:11" x14ac:dyDescent="0.3">
      <c r="A5" t="s">
        <v>18</v>
      </c>
      <c r="B5" s="8">
        <f>analitics!B3</f>
        <v>0</v>
      </c>
      <c r="C5" s="8">
        <f>analitics!B12</f>
        <v>0</v>
      </c>
      <c r="D5" s="8">
        <f>analitics!E21</f>
        <v>0</v>
      </c>
      <c r="E5" s="41">
        <f>B5-C5+D5</f>
        <v>0</v>
      </c>
      <c r="G5" s="60"/>
      <c r="H5" s="61"/>
      <c r="I5" s="62"/>
    </row>
    <row r="6" spans="1:11" ht="15" thickBot="1" x14ac:dyDescent="0.35">
      <c r="A6" t="s">
        <v>17</v>
      </c>
      <c r="B6" s="8">
        <f>analitics!B4</f>
        <v>1553499</v>
      </c>
      <c r="C6" s="8">
        <f>analitics!B13</f>
        <v>807010</v>
      </c>
      <c r="D6" s="8">
        <f>analitics!E22</f>
        <v>-55600</v>
      </c>
      <c r="E6" s="42">
        <f>B6-C6+D6</f>
        <v>690889</v>
      </c>
      <c r="G6" s="10" t="s">
        <v>84</v>
      </c>
      <c r="H6" s="67">
        <f>analitics!AK7</f>
        <v>0</v>
      </c>
      <c r="I6" s="71"/>
    </row>
    <row r="7" spans="1:11" ht="15" thickBot="1" x14ac:dyDescent="0.35">
      <c r="A7" s="23"/>
      <c r="B7" s="23"/>
      <c r="C7" s="23"/>
      <c r="D7" s="23"/>
      <c r="E7" s="38">
        <f>E5+E6</f>
        <v>690889</v>
      </c>
      <c r="G7" s="13"/>
      <c r="H7" s="36"/>
      <c r="I7" s="37"/>
    </row>
    <row r="12" spans="1:11" x14ac:dyDescent="0.3">
      <c r="A12" s="142" t="s">
        <v>51</v>
      </c>
      <c r="B12" s="142"/>
      <c r="C12" s="142"/>
      <c r="G12" s="143" t="s">
        <v>66</v>
      </c>
      <c r="H12" s="144"/>
      <c r="I12" s="144"/>
      <c r="J12" s="144"/>
      <c r="K12" s="145"/>
    </row>
    <row r="13" spans="1:11" x14ac:dyDescent="0.3">
      <c r="A13" s="142"/>
      <c r="B13" s="142"/>
      <c r="C13" s="142"/>
      <c r="G13" s="146"/>
      <c r="H13" s="147"/>
      <c r="I13" s="147"/>
      <c r="J13" s="147"/>
      <c r="K13" s="148"/>
    </row>
    <row r="14" spans="1:11" ht="15" thickBot="1" x14ac:dyDescent="0.35">
      <c r="A14" s="142"/>
      <c r="B14" s="142"/>
      <c r="C14" s="142"/>
      <c r="G14" s="146"/>
      <c r="H14" s="147"/>
      <c r="I14" s="147"/>
      <c r="J14" s="147"/>
      <c r="K14" s="148"/>
    </row>
    <row r="15" spans="1:11" x14ac:dyDescent="0.3">
      <c r="A15" s="60"/>
      <c r="B15" s="61"/>
      <c r="C15" s="62"/>
      <c r="G15" s="47" t="s">
        <v>67</v>
      </c>
      <c r="H15" s="14"/>
      <c r="I15" s="14"/>
      <c r="J15" s="48" t="s">
        <v>71</v>
      </c>
      <c r="K15" s="49"/>
    </row>
    <row r="16" spans="1:11" x14ac:dyDescent="0.3">
      <c r="A16" s="35" t="s">
        <v>52</v>
      </c>
      <c r="B16" s="33">
        <f>analitics!H3</f>
        <v>1553499</v>
      </c>
      <c r="C16" s="34"/>
      <c r="G16" s="50" t="s">
        <v>68</v>
      </c>
      <c r="H16" s="33">
        <f>Finanzas!E5</f>
        <v>0</v>
      </c>
      <c r="I16" s="14"/>
      <c r="J16" s="14" t="s">
        <v>72</v>
      </c>
      <c r="K16" s="51">
        <v>0</v>
      </c>
    </row>
    <row r="17" spans="1:11" x14ac:dyDescent="0.3">
      <c r="A17" s="35" t="s">
        <v>65</v>
      </c>
      <c r="B17" s="33">
        <f>analitics!AK4</f>
        <v>0</v>
      </c>
      <c r="C17" s="34"/>
      <c r="E17" s="8"/>
      <c r="G17" s="50" t="s">
        <v>70</v>
      </c>
      <c r="H17" s="33">
        <f>Finanzas!E6</f>
        <v>690889</v>
      </c>
      <c r="I17" s="14"/>
      <c r="J17" s="48" t="s">
        <v>80</v>
      </c>
      <c r="K17" s="51">
        <f>K16</f>
        <v>0</v>
      </c>
    </row>
    <row r="18" spans="1:11" x14ac:dyDescent="0.3">
      <c r="A18" s="35" t="s">
        <v>60</v>
      </c>
      <c r="B18" s="33">
        <f>analitics!Q3</f>
        <v>553485.88916459889</v>
      </c>
      <c r="C18" s="34"/>
      <c r="E18" s="8"/>
      <c r="G18" s="50" t="s">
        <v>69</v>
      </c>
      <c r="H18" s="33">
        <f>Comercial!N33</f>
        <v>253524.11083540114</v>
      </c>
      <c r="I18" s="14"/>
      <c r="J18" s="14"/>
      <c r="K18" s="49"/>
    </row>
    <row r="19" spans="1:11" x14ac:dyDescent="0.3">
      <c r="A19" s="10"/>
      <c r="B19" s="14"/>
      <c r="C19" s="34"/>
      <c r="E19" s="8"/>
      <c r="G19" s="47" t="s">
        <v>76</v>
      </c>
      <c r="H19" s="46">
        <f>SUM(H16:H18)</f>
        <v>944413.11083540111</v>
      </c>
      <c r="I19" s="14"/>
      <c r="J19" s="14"/>
      <c r="K19" s="49"/>
    </row>
    <row r="20" spans="1:11" ht="15" thickBot="1" x14ac:dyDescent="0.35">
      <c r="A20" s="35" t="s">
        <v>53</v>
      </c>
      <c r="B20" s="20">
        <f>B16-B18-B17</f>
        <v>1000013.1108354011</v>
      </c>
      <c r="C20" s="34"/>
      <c r="G20" s="50"/>
      <c r="H20" s="33"/>
      <c r="I20" s="14"/>
      <c r="J20" s="14"/>
      <c r="K20" s="49"/>
    </row>
    <row r="21" spans="1:11" ht="15" thickTop="1" x14ac:dyDescent="0.3">
      <c r="A21" s="10"/>
      <c r="B21" s="14"/>
      <c r="C21" s="34"/>
      <c r="G21" s="50"/>
      <c r="H21" s="14"/>
      <c r="I21" s="14"/>
      <c r="J21" s="14"/>
      <c r="K21" s="49"/>
    </row>
    <row r="22" spans="1:11" x14ac:dyDescent="0.3">
      <c r="A22" s="35" t="s">
        <v>57</v>
      </c>
      <c r="B22" s="33">
        <f>analitics!AK6</f>
        <v>0</v>
      </c>
      <c r="C22" s="34"/>
      <c r="G22" s="50"/>
      <c r="H22" s="14"/>
      <c r="I22" s="14"/>
      <c r="J22" s="14" t="s">
        <v>73</v>
      </c>
      <c r="K22" s="55">
        <f>K16+K17</f>
        <v>0</v>
      </c>
    </row>
    <row r="23" spans="1:11" x14ac:dyDescent="0.3">
      <c r="A23" s="35" t="s">
        <v>58</v>
      </c>
      <c r="B23" s="33">
        <f>analitics!AK5</f>
        <v>55600</v>
      </c>
      <c r="C23" s="34"/>
      <c r="G23" s="50"/>
      <c r="H23" s="14"/>
      <c r="I23" s="14"/>
      <c r="J23" s="14" t="s">
        <v>74</v>
      </c>
      <c r="K23" s="51">
        <f>Finanzas!B26</f>
        <v>944413.11083540111</v>
      </c>
    </row>
    <row r="24" spans="1:11" ht="15" thickBot="1" x14ac:dyDescent="0.35">
      <c r="A24" s="35" t="s">
        <v>89</v>
      </c>
      <c r="B24" s="73">
        <f>B20+B22-B23+Finanzas!H6</f>
        <v>944413.11083540111</v>
      </c>
      <c r="C24" s="34"/>
      <c r="G24" s="47" t="s">
        <v>78</v>
      </c>
      <c r="H24" s="46">
        <v>0</v>
      </c>
      <c r="I24" s="14"/>
      <c r="J24" s="14" t="s">
        <v>75</v>
      </c>
      <c r="K24" s="51">
        <v>0</v>
      </c>
    </row>
    <row r="25" spans="1:11" ht="15" thickTop="1" x14ac:dyDescent="0.3">
      <c r="A25" s="72" t="s">
        <v>82</v>
      </c>
      <c r="B25" s="33">
        <f>Finanzas!H6</f>
        <v>0</v>
      </c>
      <c r="C25" s="34"/>
      <c r="G25" s="50"/>
      <c r="H25" s="14"/>
      <c r="I25" s="14"/>
      <c r="J25" s="48" t="s">
        <v>81</v>
      </c>
      <c r="K25" s="55">
        <f>K23+K24</f>
        <v>944413.11083540111</v>
      </c>
    </row>
    <row r="26" spans="1:11" ht="15" thickBot="1" x14ac:dyDescent="0.35">
      <c r="A26" s="72" t="s">
        <v>88</v>
      </c>
      <c r="B26" s="73">
        <f>B24-B25</f>
        <v>944413.11083540111</v>
      </c>
      <c r="C26" s="34"/>
      <c r="G26" s="50"/>
      <c r="H26" s="14"/>
      <c r="I26" s="14"/>
      <c r="J26" s="14"/>
      <c r="K26" s="49"/>
    </row>
    <row r="27" spans="1:11" ht="15.6" thickTop="1" thickBot="1" x14ac:dyDescent="0.35">
      <c r="A27" s="13"/>
      <c r="B27" s="36"/>
      <c r="C27" s="37"/>
      <c r="G27" s="52" t="s">
        <v>77</v>
      </c>
      <c r="H27" s="56">
        <f>H19+H24</f>
        <v>944413.11083540111</v>
      </c>
      <c r="I27" s="53"/>
      <c r="J27" s="54" t="s">
        <v>79</v>
      </c>
      <c r="K27" s="57">
        <f>K17+K25</f>
        <v>944413.11083540111</v>
      </c>
    </row>
    <row r="29" spans="1:11" x14ac:dyDescent="0.3">
      <c r="K29" s="8">
        <f>K27-H27</f>
        <v>0</v>
      </c>
    </row>
  </sheetData>
  <mergeCells count="4">
    <mergeCell ref="A2:E3"/>
    <mergeCell ref="A12:C14"/>
    <mergeCell ref="G12:K14"/>
    <mergeCell ref="G2:I4"/>
  </mergeCells>
  <conditionalFormatting sqref="B20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I250"/>
  <sheetViews>
    <sheetView workbookViewId="0">
      <selection activeCell="F6" sqref="F3:F6"/>
    </sheetView>
  </sheetViews>
  <sheetFormatPr baseColWidth="10" defaultColWidth="11.44140625" defaultRowHeight="14.4" x14ac:dyDescent="0.3"/>
  <cols>
    <col min="2" max="2" width="18.88671875" style="4" bestFit="1" customWidth="1"/>
    <col min="3" max="5" width="11.44140625" style="4"/>
  </cols>
  <sheetData>
    <row r="1" spans="1:7" x14ac:dyDescent="0.3">
      <c r="A1" s="3" t="s">
        <v>0</v>
      </c>
      <c r="B1" s="5" t="s">
        <v>11</v>
      </c>
      <c r="C1" s="5" t="s">
        <v>20</v>
      </c>
      <c r="D1" s="5" t="s">
        <v>13</v>
      </c>
      <c r="E1" s="5" t="s">
        <v>4</v>
      </c>
      <c r="F1" s="3" t="s">
        <v>21</v>
      </c>
      <c r="G1" s="5" t="s">
        <v>90</v>
      </c>
    </row>
    <row r="2" spans="1:7" x14ac:dyDescent="0.3">
      <c r="A2" s="3"/>
      <c r="B2" s="5"/>
      <c r="C2" s="5"/>
      <c r="D2" s="5"/>
      <c r="E2" s="5"/>
      <c r="F2" s="3"/>
      <c r="G2" s="5"/>
    </row>
    <row r="3" spans="1:7" x14ac:dyDescent="0.3">
      <c r="A3" s="106">
        <v>44249</v>
      </c>
      <c r="B3" s="100" t="s">
        <v>129</v>
      </c>
      <c r="C3" s="7">
        <v>34900</v>
      </c>
      <c r="D3">
        <v>1</v>
      </c>
      <c r="E3" s="8" t="s">
        <v>17</v>
      </c>
      <c r="F3" s="24">
        <f t="shared" ref="F3:F6" si="0">C3*D3</f>
        <v>34900</v>
      </c>
      <c r="G3">
        <f t="shared" ref="G3:G6" si="1">IF(A3&lt;&gt;"",MONTH(A3),"")</f>
        <v>2</v>
      </c>
    </row>
    <row r="4" spans="1:7" x14ac:dyDescent="0.3">
      <c r="A4" s="106">
        <v>44249</v>
      </c>
      <c r="B4" s="100" t="s">
        <v>148</v>
      </c>
      <c r="C4" s="7">
        <v>6000</v>
      </c>
      <c r="D4">
        <v>1</v>
      </c>
      <c r="E4" s="8" t="s">
        <v>17</v>
      </c>
      <c r="F4" s="24">
        <f t="shared" si="0"/>
        <v>6000</v>
      </c>
      <c r="G4">
        <f t="shared" si="1"/>
        <v>2</v>
      </c>
    </row>
    <row r="5" spans="1:7" x14ac:dyDescent="0.3">
      <c r="A5" s="106">
        <v>44249</v>
      </c>
      <c r="B5" s="100" t="s">
        <v>147</v>
      </c>
      <c r="C5" s="7">
        <v>6000</v>
      </c>
      <c r="D5">
        <v>1</v>
      </c>
      <c r="E5" s="8" t="s">
        <v>17</v>
      </c>
      <c r="F5" s="24">
        <f t="shared" si="0"/>
        <v>6000</v>
      </c>
      <c r="G5">
        <f t="shared" si="1"/>
        <v>2</v>
      </c>
    </row>
    <row r="6" spans="1:7" x14ac:dyDescent="0.3">
      <c r="A6" s="106">
        <v>44249</v>
      </c>
      <c r="B6" s="100" t="s">
        <v>127</v>
      </c>
      <c r="C6" s="7">
        <v>24900</v>
      </c>
      <c r="D6">
        <v>1</v>
      </c>
      <c r="E6" s="8" t="s">
        <v>17</v>
      </c>
      <c r="F6" s="24">
        <f t="shared" si="0"/>
        <v>24900</v>
      </c>
      <c r="G6">
        <f t="shared" si="1"/>
        <v>2</v>
      </c>
    </row>
    <row r="7" spans="1:7" x14ac:dyDescent="0.3">
      <c r="A7" s="106">
        <v>44246</v>
      </c>
      <c r="B7" s="100" t="s">
        <v>129</v>
      </c>
      <c r="C7" s="7">
        <v>34900</v>
      </c>
      <c r="D7">
        <v>1</v>
      </c>
      <c r="E7" s="8" t="s">
        <v>17</v>
      </c>
      <c r="F7" s="24">
        <f t="shared" ref="F7:F13" si="2">C7*D7</f>
        <v>34900</v>
      </c>
      <c r="G7">
        <f t="shared" ref="G7:G13" si="3">IF(A7&lt;&gt;"",MONTH(A7),"")</f>
        <v>2</v>
      </c>
    </row>
    <row r="8" spans="1:7" x14ac:dyDescent="0.3">
      <c r="A8" s="106">
        <v>44246</v>
      </c>
      <c r="B8" s="100" t="s">
        <v>151</v>
      </c>
      <c r="C8" s="7">
        <v>6000</v>
      </c>
      <c r="D8">
        <v>2</v>
      </c>
      <c r="E8" s="8" t="s">
        <v>17</v>
      </c>
      <c r="F8" s="24">
        <f t="shared" si="2"/>
        <v>12000</v>
      </c>
      <c r="G8">
        <f t="shared" si="3"/>
        <v>2</v>
      </c>
    </row>
    <row r="9" spans="1:7" x14ac:dyDescent="0.3">
      <c r="A9" s="106">
        <v>44246</v>
      </c>
      <c r="B9" s="100" t="s">
        <v>152</v>
      </c>
      <c r="C9" s="7">
        <v>6000</v>
      </c>
      <c r="D9">
        <v>2</v>
      </c>
      <c r="E9" s="8" t="s">
        <v>17</v>
      </c>
      <c r="F9" s="24">
        <f t="shared" si="2"/>
        <v>12000</v>
      </c>
      <c r="G9">
        <f t="shared" si="3"/>
        <v>2</v>
      </c>
    </row>
    <row r="10" spans="1:7" x14ac:dyDescent="0.3">
      <c r="A10" s="106">
        <v>44248</v>
      </c>
      <c r="B10" s="100" t="s">
        <v>157</v>
      </c>
      <c r="C10" s="7">
        <v>7000</v>
      </c>
      <c r="D10">
        <v>1</v>
      </c>
      <c r="E10" s="8" t="s">
        <v>17</v>
      </c>
      <c r="F10" s="24">
        <f t="shared" si="2"/>
        <v>7000</v>
      </c>
      <c r="G10">
        <f t="shared" si="3"/>
        <v>2</v>
      </c>
    </row>
    <row r="11" spans="1:7" x14ac:dyDescent="0.3">
      <c r="A11" s="106">
        <v>44248</v>
      </c>
      <c r="B11" s="100" t="s">
        <v>129</v>
      </c>
      <c r="C11" s="7">
        <v>34900</v>
      </c>
      <c r="D11">
        <v>1</v>
      </c>
      <c r="E11" s="8" t="s">
        <v>17</v>
      </c>
      <c r="F11" s="24">
        <f t="shared" si="2"/>
        <v>34900</v>
      </c>
      <c r="G11">
        <f t="shared" si="3"/>
        <v>2</v>
      </c>
    </row>
    <row r="12" spans="1:7" x14ac:dyDescent="0.3">
      <c r="A12" s="106">
        <v>44248</v>
      </c>
      <c r="B12" s="100" t="s">
        <v>154</v>
      </c>
      <c r="C12" s="7">
        <v>8900</v>
      </c>
      <c r="D12">
        <v>2</v>
      </c>
      <c r="E12" s="8" t="s">
        <v>17</v>
      </c>
      <c r="F12" s="24">
        <f t="shared" si="2"/>
        <v>17800</v>
      </c>
      <c r="G12">
        <f t="shared" si="3"/>
        <v>2</v>
      </c>
    </row>
    <row r="13" spans="1:7" x14ac:dyDescent="0.3">
      <c r="A13" s="106">
        <v>44248</v>
      </c>
      <c r="B13" s="100" t="s">
        <v>157</v>
      </c>
      <c r="C13" s="6">
        <v>7000</v>
      </c>
      <c r="D13">
        <v>1</v>
      </c>
      <c r="E13" s="4" t="s">
        <v>17</v>
      </c>
      <c r="F13" s="24">
        <f t="shared" si="2"/>
        <v>7000</v>
      </c>
      <c r="G13">
        <f t="shared" si="3"/>
        <v>2</v>
      </c>
    </row>
    <row r="14" spans="1:7" x14ac:dyDescent="0.3">
      <c r="A14" s="106">
        <v>44238</v>
      </c>
      <c r="B14" s="100" t="s">
        <v>115</v>
      </c>
      <c r="C14" s="7">
        <v>9900</v>
      </c>
      <c r="D14">
        <v>1</v>
      </c>
      <c r="E14" s="8" t="s">
        <v>17</v>
      </c>
      <c r="F14" s="24">
        <f t="shared" ref="F14:F22" si="4">C14*D14</f>
        <v>9900</v>
      </c>
      <c r="G14">
        <f t="shared" ref="G14:G21" si="5">IF(A14&lt;&gt;"",MONTH(A14),"")</f>
        <v>2</v>
      </c>
    </row>
    <row r="15" spans="1:7" x14ac:dyDescent="0.3">
      <c r="A15" s="106">
        <v>44238</v>
      </c>
      <c r="B15" s="100" t="s">
        <v>122</v>
      </c>
      <c r="C15" s="7">
        <v>10000</v>
      </c>
      <c r="D15">
        <v>1</v>
      </c>
      <c r="E15" s="8" t="s">
        <v>17</v>
      </c>
      <c r="F15" s="24">
        <f t="shared" si="4"/>
        <v>10000</v>
      </c>
      <c r="G15">
        <f t="shared" si="5"/>
        <v>2</v>
      </c>
    </row>
    <row r="16" spans="1:7" x14ac:dyDescent="0.3">
      <c r="A16" s="106">
        <v>44243</v>
      </c>
      <c r="B16" s="100" t="s">
        <v>150</v>
      </c>
      <c r="C16" s="7">
        <v>6000</v>
      </c>
      <c r="D16">
        <v>1</v>
      </c>
      <c r="E16" s="8" t="s">
        <v>17</v>
      </c>
      <c r="F16" s="24">
        <f t="shared" si="4"/>
        <v>6000</v>
      </c>
      <c r="G16">
        <f t="shared" si="5"/>
        <v>2</v>
      </c>
    </row>
    <row r="17" spans="1:7" x14ac:dyDescent="0.3">
      <c r="A17" s="106">
        <v>44243</v>
      </c>
      <c r="B17" s="100" t="s">
        <v>149</v>
      </c>
      <c r="C17" s="7">
        <v>6000</v>
      </c>
      <c r="D17">
        <v>1</v>
      </c>
      <c r="E17" s="8" t="s">
        <v>17</v>
      </c>
      <c r="F17" s="24">
        <f t="shared" si="4"/>
        <v>6000</v>
      </c>
      <c r="G17">
        <f t="shared" si="5"/>
        <v>2</v>
      </c>
    </row>
    <row r="18" spans="1:7" x14ac:dyDescent="0.3">
      <c r="A18" s="106">
        <v>44243</v>
      </c>
      <c r="B18" s="100" t="s">
        <v>127</v>
      </c>
      <c r="C18" s="7">
        <v>29900</v>
      </c>
      <c r="D18">
        <v>1</v>
      </c>
      <c r="E18" s="8" t="s">
        <v>17</v>
      </c>
      <c r="F18" s="24">
        <f t="shared" si="4"/>
        <v>29900</v>
      </c>
      <c r="G18">
        <f t="shared" si="5"/>
        <v>2</v>
      </c>
    </row>
    <row r="19" spans="1:7" x14ac:dyDescent="0.3">
      <c r="A19" s="106">
        <v>44238</v>
      </c>
      <c r="B19" s="100" t="s">
        <v>114</v>
      </c>
      <c r="C19" s="7">
        <v>9900</v>
      </c>
      <c r="D19">
        <v>1</v>
      </c>
      <c r="E19" s="8" t="s">
        <v>17</v>
      </c>
      <c r="F19" s="24">
        <f t="shared" si="4"/>
        <v>9900</v>
      </c>
      <c r="G19">
        <f t="shared" si="5"/>
        <v>2</v>
      </c>
    </row>
    <row r="20" spans="1:7" x14ac:dyDescent="0.3">
      <c r="A20" s="1">
        <v>44236</v>
      </c>
      <c r="B20" t="s">
        <v>129</v>
      </c>
      <c r="C20" s="6">
        <v>34900</v>
      </c>
      <c r="D20">
        <v>1</v>
      </c>
      <c r="E20" s="4" t="s">
        <v>17</v>
      </c>
      <c r="F20" s="24">
        <f t="shared" si="4"/>
        <v>34900</v>
      </c>
      <c r="G20">
        <f t="shared" si="5"/>
        <v>2</v>
      </c>
    </row>
    <row r="21" spans="1:7" x14ac:dyDescent="0.3">
      <c r="A21" s="1">
        <v>44236</v>
      </c>
      <c r="B21" t="s">
        <v>127</v>
      </c>
      <c r="C21" s="6">
        <v>24900</v>
      </c>
      <c r="D21">
        <v>1</v>
      </c>
      <c r="E21" s="4" t="s">
        <v>17</v>
      </c>
      <c r="F21" s="24">
        <f t="shared" si="4"/>
        <v>24900</v>
      </c>
      <c r="G21">
        <f t="shared" si="5"/>
        <v>2</v>
      </c>
    </row>
    <row r="22" spans="1:7" x14ac:dyDescent="0.3">
      <c r="A22" s="1">
        <v>44236</v>
      </c>
      <c r="B22" t="s">
        <v>115</v>
      </c>
      <c r="C22" s="6">
        <v>9900</v>
      </c>
      <c r="D22">
        <v>1</v>
      </c>
      <c r="E22" s="4" t="s">
        <v>17</v>
      </c>
      <c r="F22" s="24">
        <f t="shared" si="4"/>
        <v>9900</v>
      </c>
      <c r="G22">
        <f t="shared" ref="G22:G23" si="6">IF(A22&lt;&gt;"",MONTH(A22),"")</f>
        <v>2</v>
      </c>
    </row>
    <row r="23" spans="1:7" ht="15" thickBot="1" x14ac:dyDescent="0.35">
      <c r="A23" s="1">
        <v>44236</v>
      </c>
      <c r="B23" t="s">
        <v>154</v>
      </c>
      <c r="C23" s="6">
        <v>8900</v>
      </c>
      <c r="D23">
        <v>1</v>
      </c>
      <c r="E23" s="4" t="s">
        <v>17</v>
      </c>
      <c r="F23" s="24">
        <f t="shared" ref="F23" si="7">C23*D23</f>
        <v>8900</v>
      </c>
      <c r="G23">
        <f t="shared" si="6"/>
        <v>2</v>
      </c>
    </row>
    <row r="24" spans="1:7" ht="15" thickBot="1" x14ac:dyDescent="0.35">
      <c r="A24" s="103">
        <v>44229</v>
      </c>
      <c r="B24" t="s">
        <v>124</v>
      </c>
      <c r="C24" s="6">
        <v>6000</v>
      </c>
      <c r="D24" s="104">
        <v>2</v>
      </c>
      <c r="E24" s="4" t="s">
        <v>17</v>
      </c>
      <c r="F24" s="24">
        <f>C24*D24</f>
        <v>12000</v>
      </c>
      <c r="G24">
        <f>IF(A24&lt;&gt;"",MONTH(A24),"")</f>
        <v>2</v>
      </c>
    </row>
    <row r="25" spans="1:7" ht="15" thickBot="1" x14ac:dyDescent="0.35">
      <c r="A25" s="103">
        <v>44229</v>
      </c>
      <c r="B25" t="s">
        <v>128</v>
      </c>
      <c r="C25" s="6">
        <v>29900</v>
      </c>
      <c r="D25" s="104">
        <v>1</v>
      </c>
      <c r="E25" s="4" t="s">
        <v>17</v>
      </c>
      <c r="F25" s="24">
        <f>C25*D25</f>
        <v>29900</v>
      </c>
      <c r="G25">
        <f t="shared" ref="G25:G35" si="8">IF(A25&lt;&gt;"",MONTH(A25),"")</f>
        <v>2</v>
      </c>
    </row>
    <row r="26" spans="1:7" ht="15" thickBot="1" x14ac:dyDescent="0.35">
      <c r="A26" s="103">
        <v>44229</v>
      </c>
      <c r="B26" t="s">
        <v>115</v>
      </c>
      <c r="C26" s="6">
        <v>9999</v>
      </c>
      <c r="D26" s="104">
        <v>1</v>
      </c>
      <c r="E26" s="4" t="s">
        <v>17</v>
      </c>
      <c r="F26" s="24">
        <f t="shared" ref="F26:F35" si="9">C26*D26</f>
        <v>9999</v>
      </c>
      <c r="G26">
        <f t="shared" si="8"/>
        <v>2</v>
      </c>
    </row>
    <row r="27" spans="1:7" ht="15" thickBot="1" x14ac:dyDescent="0.35">
      <c r="A27" s="103">
        <v>44230</v>
      </c>
      <c r="B27" t="s">
        <v>125</v>
      </c>
      <c r="C27" s="6">
        <v>6500</v>
      </c>
      <c r="D27" s="104">
        <v>1</v>
      </c>
      <c r="E27" s="4" t="s">
        <v>17</v>
      </c>
      <c r="F27" s="24">
        <f t="shared" si="9"/>
        <v>6500</v>
      </c>
      <c r="G27">
        <f t="shared" si="8"/>
        <v>2</v>
      </c>
    </row>
    <row r="28" spans="1:7" ht="15" thickBot="1" x14ac:dyDescent="0.35">
      <c r="A28" s="103">
        <v>44230</v>
      </c>
      <c r="B28" t="s">
        <v>129</v>
      </c>
      <c r="C28" s="6">
        <v>34900</v>
      </c>
      <c r="D28" s="104">
        <v>1</v>
      </c>
      <c r="E28" s="4" t="s">
        <v>17</v>
      </c>
      <c r="F28" s="24">
        <f t="shared" si="9"/>
        <v>34900</v>
      </c>
      <c r="G28">
        <f t="shared" si="8"/>
        <v>2</v>
      </c>
    </row>
    <row r="29" spans="1:7" ht="15" thickBot="1" x14ac:dyDescent="0.35">
      <c r="A29" s="103">
        <v>44231</v>
      </c>
      <c r="B29" t="s">
        <v>119</v>
      </c>
      <c r="C29" s="6">
        <v>12000</v>
      </c>
      <c r="D29" s="104">
        <v>1</v>
      </c>
      <c r="E29" s="4" t="s">
        <v>17</v>
      </c>
      <c r="F29" s="24">
        <f t="shared" si="9"/>
        <v>12000</v>
      </c>
      <c r="G29">
        <f t="shared" si="8"/>
        <v>2</v>
      </c>
    </row>
    <row r="30" spans="1:7" ht="15" thickBot="1" x14ac:dyDescent="0.35">
      <c r="A30" s="103">
        <v>44231</v>
      </c>
      <c r="B30" t="s">
        <v>129</v>
      </c>
      <c r="C30" s="6">
        <v>34900</v>
      </c>
      <c r="D30" s="104">
        <v>1</v>
      </c>
      <c r="E30" s="4" t="s">
        <v>17</v>
      </c>
      <c r="F30" s="24">
        <f t="shared" si="9"/>
        <v>34900</v>
      </c>
      <c r="G30">
        <f t="shared" si="8"/>
        <v>2</v>
      </c>
    </row>
    <row r="31" spans="1:7" ht="15" thickBot="1" x14ac:dyDescent="0.35">
      <c r="A31" s="103">
        <v>44231</v>
      </c>
      <c r="B31" t="s">
        <v>127</v>
      </c>
      <c r="C31" s="6">
        <v>24900</v>
      </c>
      <c r="D31" s="104">
        <v>1</v>
      </c>
      <c r="E31" s="4" t="s">
        <v>17</v>
      </c>
      <c r="F31" s="24">
        <f t="shared" si="9"/>
        <v>24900</v>
      </c>
      <c r="G31">
        <f t="shared" si="8"/>
        <v>2</v>
      </c>
    </row>
    <row r="32" spans="1:7" ht="15" thickBot="1" x14ac:dyDescent="0.35">
      <c r="A32" s="103">
        <v>44233</v>
      </c>
      <c r="B32" t="s">
        <v>128</v>
      </c>
      <c r="C32" s="6">
        <v>29900</v>
      </c>
      <c r="D32" s="104">
        <v>1</v>
      </c>
      <c r="E32" s="4" t="s">
        <v>17</v>
      </c>
      <c r="F32" s="24">
        <f t="shared" si="9"/>
        <v>29900</v>
      </c>
      <c r="G32">
        <f t="shared" si="8"/>
        <v>2</v>
      </c>
    </row>
    <row r="33" spans="1:7" ht="15" thickBot="1" x14ac:dyDescent="0.35">
      <c r="A33" s="103">
        <v>44233</v>
      </c>
      <c r="B33" t="s">
        <v>128</v>
      </c>
      <c r="C33" s="6">
        <v>29900</v>
      </c>
      <c r="D33" s="104">
        <v>1</v>
      </c>
      <c r="E33" s="4" t="s">
        <v>17</v>
      </c>
      <c r="F33" s="24">
        <f t="shared" si="9"/>
        <v>29900</v>
      </c>
      <c r="G33">
        <f t="shared" si="8"/>
        <v>2</v>
      </c>
    </row>
    <row r="34" spans="1:7" ht="15" thickBot="1" x14ac:dyDescent="0.35">
      <c r="A34" s="103">
        <v>44233</v>
      </c>
      <c r="B34" t="s">
        <v>128</v>
      </c>
      <c r="C34" s="6">
        <v>29900</v>
      </c>
      <c r="D34" s="104">
        <v>1</v>
      </c>
      <c r="E34" s="4" t="s">
        <v>17</v>
      </c>
      <c r="F34" s="24">
        <f t="shared" si="9"/>
        <v>29900</v>
      </c>
      <c r="G34">
        <f t="shared" si="8"/>
        <v>2</v>
      </c>
    </row>
    <row r="35" spans="1:7" ht="15" thickBot="1" x14ac:dyDescent="0.35">
      <c r="A35" s="103">
        <v>44235</v>
      </c>
      <c r="B35" t="s">
        <v>116</v>
      </c>
      <c r="C35" s="6">
        <v>13900</v>
      </c>
      <c r="D35" s="105">
        <v>1</v>
      </c>
      <c r="E35" s="4" t="s">
        <v>17</v>
      </c>
      <c r="F35" s="6">
        <f t="shared" si="9"/>
        <v>13900</v>
      </c>
      <c r="G35">
        <f t="shared" si="8"/>
        <v>2</v>
      </c>
    </row>
    <row r="36" spans="1:7" x14ac:dyDescent="0.3">
      <c r="A36" s="1">
        <v>44197</v>
      </c>
      <c r="B36" t="s">
        <v>111</v>
      </c>
      <c r="C36" s="7">
        <v>14900</v>
      </c>
      <c r="D36">
        <v>1</v>
      </c>
      <c r="E36" s="4" t="s">
        <v>17</v>
      </c>
      <c r="F36" s="24">
        <f>C36*D36</f>
        <v>14900</v>
      </c>
      <c r="G36">
        <f>IF(A36&lt;&gt;"",MONTH(A36),"")</f>
        <v>1</v>
      </c>
    </row>
    <row r="37" spans="1:7" x14ac:dyDescent="0.3">
      <c r="A37" s="1">
        <v>44197</v>
      </c>
      <c r="B37" t="s">
        <v>113</v>
      </c>
      <c r="C37" s="7">
        <v>10000</v>
      </c>
      <c r="D37">
        <v>3</v>
      </c>
      <c r="E37" s="4" t="s">
        <v>17</v>
      </c>
      <c r="F37" s="24">
        <f>C37*D37</f>
        <v>30000</v>
      </c>
      <c r="G37">
        <f t="shared" ref="G37:G49" si="10">IF(A37&lt;&gt;"",MONTH(A37),"")</f>
        <v>1</v>
      </c>
    </row>
    <row r="38" spans="1:7" x14ac:dyDescent="0.3">
      <c r="A38" s="1">
        <v>44197</v>
      </c>
      <c r="B38" t="s">
        <v>114</v>
      </c>
      <c r="C38" s="7">
        <v>9900</v>
      </c>
      <c r="D38">
        <v>2</v>
      </c>
      <c r="E38" s="4" t="s">
        <v>17</v>
      </c>
      <c r="F38" s="24">
        <f t="shared" ref="F38:F49" si="11">C38*D38</f>
        <v>19800</v>
      </c>
      <c r="G38">
        <f t="shared" si="10"/>
        <v>1</v>
      </c>
    </row>
    <row r="39" spans="1:7" x14ac:dyDescent="0.3">
      <c r="A39" s="1">
        <v>44197</v>
      </c>
      <c r="B39" t="s">
        <v>115</v>
      </c>
      <c r="C39" s="7">
        <v>9900</v>
      </c>
      <c r="D39">
        <v>3</v>
      </c>
      <c r="E39" s="4" t="s">
        <v>17</v>
      </c>
      <c r="F39" s="24">
        <f t="shared" si="11"/>
        <v>29700</v>
      </c>
      <c r="G39">
        <f t="shared" si="10"/>
        <v>1</v>
      </c>
    </row>
    <row r="40" spans="1:7" x14ac:dyDescent="0.3">
      <c r="A40" s="1">
        <v>44197</v>
      </c>
      <c r="B40" t="s">
        <v>116</v>
      </c>
      <c r="C40" s="7">
        <v>13900</v>
      </c>
      <c r="D40">
        <v>3</v>
      </c>
      <c r="E40" s="4" t="s">
        <v>17</v>
      </c>
      <c r="F40" s="24">
        <f t="shared" si="11"/>
        <v>41700</v>
      </c>
      <c r="G40">
        <f t="shared" si="10"/>
        <v>1</v>
      </c>
    </row>
    <row r="41" spans="1:7" x14ac:dyDescent="0.3">
      <c r="A41" s="1">
        <v>44197</v>
      </c>
      <c r="B41" t="s">
        <v>117</v>
      </c>
      <c r="C41" s="7">
        <v>12000</v>
      </c>
      <c r="D41">
        <v>2</v>
      </c>
      <c r="E41" s="4" t="s">
        <v>17</v>
      </c>
      <c r="F41" s="24">
        <f t="shared" si="11"/>
        <v>24000</v>
      </c>
      <c r="G41">
        <f t="shared" si="10"/>
        <v>1</v>
      </c>
    </row>
    <row r="42" spans="1:7" x14ac:dyDescent="0.3">
      <c r="A42" s="1">
        <v>44197</v>
      </c>
      <c r="B42" t="s">
        <v>118</v>
      </c>
      <c r="C42" s="7">
        <v>12000</v>
      </c>
      <c r="D42">
        <v>3</v>
      </c>
      <c r="E42" s="4" t="s">
        <v>17</v>
      </c>
      <c r="F42" s="24">
        <f t="shared" si="11"/>
        <v>36000</v>
      </c>
      <c r="G42">
        <f t="shared" si="10"/>
        <v>1</v>
      </c>
    </row>
    <row r="43" spans="1:7" x14ac:dyDescent="0.3">
      <c r="A43" s="1">
        <v>44197</v>
      </c>
      <c r="B43" t="s">
        <v>119</v>
      </c>
      <c r="C43" s="7">
        <v>12000</v>
      </c>
      <c r="D43">
        <v>3</v>
      </c>
      <c r="E43" s="4" t="s">
        <v>17</v>
      </c>
      <c r="F43" s="24">
        <f t="shared" si="11"/>
        <v>36000</v>
      </c>
      <c r="G43">
        <f t="shared" si="10"/>
        <v>1</v>
      </c>
    </row>
    <row r="44" spans="1:7" x14ac:dyDescent="0.3">
      <c r="A44" s="1">
        <v>44197</v>
      </c>
      <c r="B44" t="s">
        <v>121</v>
      </c>
      <c r="C44" s="7">
        <v>10000</v>
      </c>
      <c r="D44">
        <v>5</v>
      </c>
      <c r="E44" s="4" t="s">
        <v>17</v>
      </c>
      <c r="F44" s="24">
        <f t="shared" si="11"/>
        <v>50000</v>
      </c>
      <c r="G44">
        <f t="shared" si="10"/>
        <v>1</v>
      </c>
    </row>
    <row r="45" spans="1:7" x14ac:dyDescent="0.3">
      <c r="A45" s="1">
        <v>44197</v>
      </c>
      <c r="B45" t="s">
        <v>122</v>
      </c>
      <c r="C45" s="7">
        <v>10000</v>
      </c>
      <c r="D45">
        <v>3</v>
      </c>
      <c r="E45" s="4" t="s">
        <v>17</v>
      </c>
      <c r="F45" s="24">
        <f t="shared" si="11"/>
        <v>30000</v>
      </c>
      <c r="G45">
        <f t="shared" si="10"/>
        <v>1</v>
      </c>
    </row>
    <row r="46" spans="1:7" x14ac:dyDescent="0.3">
      <c r="A46" s="1">
        <v>44197</v>
      </c>
      <c r="B46" t="s">
        <v>126</v>
      </c>
      <c r="C46" s="7">
        <v>20000</v>
      </c>
      <c r="D46">
        <v>4</v>
      </c>
      <c r="E46" s="4" t="s">
        <v>17</v>
      </c>
      <c r="F46" s="24">
        <f t="shared" si="11"/>
        <v>80000</v>
      </c>
      <c r="G46">
        <f t="shared" si="10"/>
        <v>1</v>
      </c>
    </row>
    <row r="47" spans="1:7" x14ac:dyDescent="0.3">
      <c r="A47" s="1">
        <v>44197</v>
      </c>
      <c r="B47" t="s">
        <v>127</v>
      </c>
      <c r="C47" s="7">
        <v>25000</v>
      </c>
      <c r="D47">
        <v>7</v>
      </c>
      <c r="E47" s="4" t="s">
        <v>17</v>
      </c>
      <c r="F47" s="24">
        <f t="shared" si="11"/>
        <v>175000</v>
      </c>
      <c r="G47">
        <f t="shared" si="10"/>
        <v>1</v>
      </c>
    </row>
    <row r="48" spans="1:7" x14ac:dyDescent="0.3">
      <c r="A48" s="1">
        <v>44197</v>
      </c>
      <c r="B48" t="s">
        <v>128</v>
      </c>
      <c r="C48" s="7">
        <v>30000</v>
      </c>
      <c r="D48">
        <v>3</v>
      </c>
      <c r="E48" s="4" t="s">
        <v>17</v>
      </c>
      <c r="F48" s="24">
        <f t="shared" si="11"/>
        <v>90000</v>
      </c>
      <c r="G48">
        <f t="shared" si="10"/>
        <v>1</v>
      </c>
    </row>
    <row r="49" spans="1:7" x14ac:dyDescent="0.3">
      <c r="A49" s="1">
        <v>44197</v>
      </c>
      <c r="B49" t="s">
        <v>129</v>
      </c>
      <c r="C49" s="7">
        <v>40000</v>
      </c>
      <c r="D49">
        <v>7</v>
      </c>
      <c r="E49" s="4" t="s">
        <v>17</v>
      </c>
      <c r="F49" s="24">
        <f t="shared" si="11"/>
        <v>280000</v>
      </c>
      <c r="G49">
        <f t="shared" si="10"/>
        <v>1</v>
      </c>
    </row>
    <row r="50" spans="1:7" x14ac:dyDescent="0.3">
      <c r="A50" s="1"/>
      <c r="C50" s="6"/>
      <c r="F50" s="24"/>
    </row>
    <row r="51" spans="1:7" x14ac:dyDescent="0.3">
      <c r="A51" s="1"/>
      <c r="C51" s="6"/>
      <c r="F51" s="24"/>
    </row>
    <row r="52" spans="1:7" x14ac:dyDescent="0.3">
      <c r="A52" s="1"/>
      <c r="C52" s="6"/>
      <c r="F52" s="24"/>
    </row>
    <row r="53" spans="1:7" x14ac:dyDescent="0.3">
      <c r="A53" s="1"/>
      <c r="C53" s="6"/>
      <c r="F53" s="24"/>
    </row>
    <row r="54" spans="1:7" x14ac:dyDescent="0.3">
      <c r="A54" s="1"/>
      <c r="C54" s="6"/>
      <c r="F54" s="24"/>
    </row>
    <row r="55" spans="1:7" x14ac:dyDescent="0.3">
      <c r="A55" s="1"/>
      <c r="C55" s="6"/>
      <c r="F55" s="24"/>
    </row>
    <row r="56" spans="1:7" x14ac:dyDescent="0.3">
      <c r="A56" s="1"/>
      <c r="C56" s="6"/>
      <c r="F56" s="24"/>
    </row>
    <row r="57" spans="1:7" x14ac:dyDescent="0.3">
      <c r="A57" s="1"/>
      <c r="C57" s="6"/>
      <c r="F57" s="24"/>
    </row>
    <row r="58" spans="1:7" x14ac:dyDescent="0.3">
      <c r="A58" s="1"/>
      <c r="C58" s="6"/>
      <c r="F58" s="24"/>
    </row>
    <row r="59" spans="1:7" x14ac:dyDescent="0.3">
      <c r="A59" s="1"/>
      <c r="C59" s="6"/>
      <c r="F59" s="24"/>
    </row>
    <row r="60" spans="1:7" x14ac:dyDescent="0.3">
      <c r="A60" s="1"/>
      <c r="C60" s="6"/>
      <c r="F60" s="24"/>
    </row>
    <row r="61" spans="1:7" x14ac:dyDescent="0.3">
      <c r="A61" s="1"/>
      <c r="C61" s="6"/>
      <c r="F61" s="24"/>
    </row>
    <row r="62" spans="1:7" x14ac:dyDescent="0.3">
      <c r="A62" s="1"/>
      <c r="C62" s="6"/>
      <c r="F62" s="24"/>
    </row>
    <row r="63" spans="1:7" x14ac:dyDescent="0.3">
      <c r="A63" s="1"/>
      <c r="C63" s="6"/>
      <c r="F63" s="24"/>
    </row>
    <row r="64" spans="1:7" x14ac:dyDescent="0.3">
      <c r="A64" s="1"/>
      <c r="C64" s="6"/>
      <c r="F64" s="24"/>
    </row>
    <row r="65" spans="1:6" x14ac:dyDescent="0.3">
      <c r="A65" s="1"/>
      <c r="C65" s="6"/>
      <c r="F65" s="24"/>
    </row>
    <row r="66" spans="1:6" x14ac:dyDescent="0.3">
      <c r="A66" s="1"/>
      <c r="C66" s="6"/>
      <c r="F66" s="24"/>
    </row>
    <row r="67" spans="1:6" x14ac:dyDescent="0.3">
      <c r="A67" s="1"/>
      <c r="C67" s="6"/>
      <c r="F67" s="24"/>
    </row>
    <row r="68" spans="1:6" x14ac:dyDescent="0.3">
      <c r="A68" s="1"/>
      <c r="C68" s="6"/>
      <c r="F68" s="24"/>
    </row>
    <row r="69" spans="1:6" x14ac:dyDescent="0.3">
      <c r="A69" s="1"/>
      <c r="C69" s="6"/>
      <c r="F69" s="24"/>
    </row>
    <row r="70" spans="1:6" x14ac:dyDescent="0.3">
      <c r="A70" s="1"/>
      <c r="C70" s="6"/>
      <c r="F70" s="24"/>
    </row>
    <row r="71" spans="1:6" x14ac:dyDescent="0.3">
      <c r="A71" s="1"/>
      <c r="C71" s="6"/>
      <c r="F71" s="24"/>
    </row>
    <row r="72" spans="1:6" x14ac:dyDescent="0.3">
      <c r="A72" s="1"/>
      <c r="C72" s="6"/>
      <c r="F72" s="24"/>
    </row>
    <row r="73" spans="1:6" x14ac:dyDescent="0.3">
      <c r="A73" s="1"/>
      <c r="C73" s="6"/>
      <c r="F73" s="24"/>
    </row>
    <row r="74" spans="1:6" x14ac:dyDescent="0.3">
      <c r="A74" s="1"/>
      <c r="C74" s="6"/>
      <c r="F74" s="24"/>
    </row>
    <row r="75" spans="1:6" x14ac:dyDescent="0.3">
      <c r="A75" s="1"/>
      <c r="C75" s="6"/>
      <c r="F75" s="24"/>
    </row>
    <row r="76" spans="1:6" x14ac:dyDescent="0.3">
      <c r="A76" s="1"/>
      <c r="C76" s="6"/>
      <c r="F76" s="24"/>
    </row>
    <row r="77" spans="1:6" x14ac:dyDescent="0.3">
      <c r="A77" s="1"/>
      <c r="C77" s="6"/>
      <c r="F77" s="24"/>
    </row>
    <row r="78" spans="1:6" x14ac:dyDescent="0.3">
      <c r="A78" s="1"/>
      <c r="C78" s="6"/>
      <c r="F78" s="24"/>
    </row>
    <row r="79" spans="1:6" x14ac:dyDescent="0.3">
      <c r="A79" s="1"/>
      <c r="C79" s="6"/>
      <c r="F79" s="24"/>
    </row>
    <row r="80" spans="1:6" x14ac:dyDescent="0.3">
      <c r="A80" s="1"/>
      <c r="C80" s="6"/>
      <c r="F80" s="24"/>
    </row>
    <row r="81" spans="1:6" x14ac:dyDescent="0.3">
      <c r="A81" s="1"/>
      <c r="C81" s="6"/>
      <c r="F81" s="24"/>
    </row>
    <row r="82" spans="1:6" x14ac:dyDescent="0.3">
      <c r="A82" s="1"/>
      <c r="C82" s="6"/>
      <c r="F82" s="24"/>
    </row>
    <row r="83" spans="1:6" x14ac:dyDescent="0.3">
      <c r="A83" s="1"/>
      <c r="C83" s="6"/>
      <c r="F83" s="24"/>
    </row>
    <row r="84" spans="1:6" x14ac:dyDescent="0.3">
      <c r="A84" s="1"/>
      <c r="C84" s="6"/>
      <c r="F84" s="24"/>
    </row>
    <row r="85" spans="1:6" x14ac:dyDescent="0.3">
      <c r="A85" s="1"/>
      <c r="C85" s="6"/>
      <c r="F85" s="24"/>
    </row>
    <row r="86" spans="1:6" x14ac:dyDescent="0.3">
      <c r="A86" s="1"/>
      <c r="C86" s="6"/>
      <c r="F86" s="24"/>
    </row>
    <row r="87" spans="1:6" x14ac:dyDescent="0.3">
      <c r="A87" s="1"/>
      <c r="C87" s="6"/>
      <c r="F87" s="24"/>
    </row>
    <row r="88" spans="1:6" x14ac:dyDescent="0.3">
      <c r="A88" s="1"/>
      <c r="C88" s="6"/>
      <c r="F88" s="24"/>
    </row>
    <row r="89" spans="1:6" x14ac:dyDescent="0.3">
      <c r="A89" s="1"/>
      <c r="C89" s="6"/>
      <c r="F89" s="24"/>
    </row>
    <row r="90" spans="1:6" x14ac:dyDescent="0.3">
      <c r="A90" s="1"/>
      <c r="C90" s="6"/>
      <c r="F90" s="24"/>
    </row>
    <row r="91" spans="1:6" x14ac:dyDescent="0.3">
      <c r="A91" s="1"/>
      <c r="C91" s="6"/>
      <c r="F91" s="24"/>
    </row>
    <row r="92" spans="1:6" x14ac:dyDescent="0.3">
      <c r="A92" s="1"/>
      <c r="C92" s="6"/>
      <c r="F92" s="24"/>
    </row>
    <row r="93" spans="1:6" x14ac:dyDescent="0.3">
      <c r="A93" s="1"/>
      <c r="C93" s="6"/>
      <c r="F93" s="24"/>
    </row>
    <row r="94" spans="1:6" x14ac:dyDescent="0.3">
      <c r="A94" s="1"/>
      <c r="C94" s="6"/>
      <c r="F94" s="24"/>
    </row>
    <row r="95" spans="1:6" x14ac:dyDescent="0.3">
      <c r="A95" s="1"/>
      <c r="C95" s="6"/>
      <c r="F95" s="24"/>
    </row>
    <row r="96" spans="1:6" x14ac:dyDescent="0.3">
      <c r="A96" s="1"/>
      <c r="C96" s="6"/>
      <c r="F96" s="24"/>
    </row>
    <row r="97" spans="1:6" x14ac:dyDescent="0.3">
      <c r="A97" s="1"/>
      <c r="C97" s="6"/>
      <c r="F97" s="24"/>
    </row>
    <row r="98" spans="1:6" x14ac:dyDescent="0.3">
      <c r="A98" s="1"/>
      <c r="C98" s="6"/>
      <c r="F98" s="24"/>
    </row>
    <row r="99" spans="1:6" x14ac:dyDescent="0.3">
      <c r="A99" s="1"/>
      <c r="C99" s="6"/>
      <c r="F99" s="24"/>
    </row>
    <row r="100" spans="1:6" x14ac:dyDescent="0.3">
      <c r="A100" s="1"/>
      <c r="C100" s="6"/>
      <c r="F100" s="24"/>
    </row>
    <row r="101" spans="1:6" x14ac:dyDescent="0.3">
      <c r="A101" s="1"/>
      <c r="C101" s="6"/>
      <c r="F101" s="24"/>
    </row>
    <row r="102" spans="1:6" x14ac:dyDescent="0.3">
      <c r="A102" s="1"/>
      <c r="C102" s="6"/>
      <c r="F102" s="24"/>
    </row>
    <row r="103" spans="1:6" x14ac:dyDescent="0.3">
      <c r="A103" s="1"/>
      <c r="C103" s="6"/>
      <c r="F103" s="24"/>
    </row>
    <row r="104" spans="1:6" x14ac:dyDescent="0.3">
      <c r="A104" s="1"/>
      <c r="C104" s="6"/>
      <c r="F104" s="24"/>
    </row>
    <row r="105" spans="1:6" x14ac:dyDescent="0.3">
      <c r="A105" s="1"/>
      <c r="C105" s="6"/>
      <c r="F105" s="24"/>
    </row>
    <row r="106" spans="1:6" x14ac:dyDescent="0.3">
      <c r="A106" s="1"/>
      <c r="C106" s="6"/>
      <c r="F106" s="24"/>
    </row>
    <row r="107" spans="1:6" x14ac:dyDescent="0.3">
      <c r="A107" s="1"/>
      <c r="C107" s="6"/>
      <c r="F107" s="24"/>
    </row>
    <row r="108" spans="1:6" x14ac:dyDescent="0.3">
      <c r="A108" s="1"/>
      <c r="C108" s="6"/>
      <c r="F108" s="24"/>
    </row>
    <row r="109" spans="1:6" x14ac:dyDescent="0.3">
      <c r="A109" s="1"/>
      <c r="C109" s="6"/>
      <c r="F109" s="24"/>
    </row>
    <row r="110" spans="1:6" x14ac:dyDescent="0.3">
      <c r="A110" s="1"/>
      <c r="C110" s="6"/>
      <c r="F110" s="24"/>
    </row>
    <row r="111" spans="1:6" x14ac:dyDescent="0.3">
      <c r="A111" s="1"/>
      <c r="C111" s="6"/>
      <c r="F111" s="24"/>
    </row>
    <row r="112" spans="1:6" x14ac:dyDescent="0.3">
      <c r="A112" s="1"/>
      <c r="C112" s="6"/>
      <c r="F112" s="24"/>
    </row>
    <row r="113" spans="1:6" x14ac:dyDescent="0.3">
      <c r="A113" s="1"/>
      <c r="C113" s="6"/>
      <c r="F113" s="24"/>
    </row>
    <row r="114" spans="1:6" x14ac:dyDescent="0.3">
      <c r="A114" s="1"/>
      <c r="C114" s="6"/>
      <c r="F114" s="24"/>
    </row>
    <row r="115" spans="1:6" x14ac:dyDescent="0.3">
      <c r="A115" s="1"/>
      <c r="C115" s="6"/>
      <c r="F115" s="24"/>
    </row>
    <row r="116" spans="1:6" x14ac:dyDescent="0.3">
      <c r="A116" s="1"/>
      <c r="C116" s="6"/>
      <c r="D116" s="78"/>
      <c r="F116" s="24"/>
    </row>
    <row r="117" spans="1:6" x14ac:dyDescent="0.3">
      <c r="A117" s="1"/>
      <c r="C117" s="6"/>
      <c r="D117" s="78"/>
      <c r="F117" s="24"/>
    </row>
    <row r="118" spans="1:6" x14ac:dyDescent="0.3">
      <c r="A118" s="1"/>
      <c r="C118" s="6"/>
      <c r="D118" s="78"/>
      <c r="F118" s="24"/>
    </row>
    <row r="119" spans="1:6" x14ac:dyDescent="0.3">
      <c r="A119" s="1"/>
      <c r="C119" s="6"/>
      <c r="D119" s="78"/>
      <c r="F119" s="24"/>
    </row>
    <row r="120" spans="1:6" x14ac:dyDescent="0.3">
      <c r="A120" s="1"/>
      <c r="C120" s="6"/>
      <c r="D120" s="78"/>
      <c r="F120" s="24"/>
    </row>
    <row r="121" spans="1:6" x14ac:dyDescent="0.3">
      <c r="A121" s="1"/>
      <c r="C121" s="6"/>
      <c r="D121" s="78"/>
      <c r="F121" s="24"/>
    </row>
    <row r="122" spans="1:6" x14ac:dyDescent="0.3">
      <c r="A122" s="1"/>
      <c r="C122" s="6"/>
      <c r="D122" s="78"/>
      <c r="F122" s="24"/>
    </row>
    <row r="123" spans="1:6" x14ac:dyDescent="0.3">
      <c r="A123" s="1"/>
      <c r="C123" s="6"/>
      <c r="D123" s="78"/>
      <c r="F123" s="24"/>
    </row>
    <row r="124" spans="1:6" x14ac:dyDescent="0.3">
      <c r="A124" s="1"/>
      <c r="C124" s="6"/>
      <c r="D124" s="78"/>
      <c r="F124" s="24"/>
    </row>
    <row r="125" spans="1:6" x14ac:dyDescent="0.3">
      <c r="A125" s="1"/>
      <c r="C125" s="6"/>
      <c r="D125" s="78"/>
      <c r="F125" s="24"/>
    </row>
    <row r="126" spans="1:6" x14ac:dyDescent="0.3">
      <c r="A126" s="1"/>
      <c r="C126" s="6"/>
      <c r="D126" s="78"/>
      <c r="F126" s="24"/>
    </row>
    <row r="127" spans="1:6" x14ac:dyDescent="0.3">
      <c r="A127" s="1"/>
      <c r="C127" s="6"/>
      <c r="D127" s="78"/>
      <c r="F127" s="24"/>
    </row>
    <row r="128" spans="1:6" x14ac:dyDescent="0.3">
      <c r="A128" s="1"/>
      <c r="C128" s="6"/>
      <c r="D128" s="78"/>
      <c r="F128" s="24"/>
    </row>
    <row r="129" spans="1:6" x14ac:dyDescent="0.3">
      <c r="A129" s="1"/>
      <c r="C129" s="6"/>
      <c r="D129" s="78"/>
      <c r="F129" s="24"/>
    </row>
    <row r="130" spans="1:6" x14ac:dyDescent="0.3">
      <c r="A130" s="1"/>
      <c r="C130" s="6"/>
      <c r="D130" s="78"/>
      <c r="F130" s="24"/>
    </row>
    <row r="131" spans="1:6" x14ac:dyDescent="0.3">
      <c r="A131" s="1"/>
      <c r="C131" s="6"/>
      <c r="D131" s="78"/>
      <c r="F131" s="24"/>
    </row>
    <row r="132" spans="1:6" x14ac:dyDescent="0.3">
      <c r="A132" s="1"/>
      <c r="C132" s="6"/>
      <c r="D132" s="78"/>
      <c r="F132" s="24"/>
    </row>
    <row r="133" spans="1:6" x14ac:dyDescent="0.3">
      <c r="A133" s="1"/>
      <c r="C133" s="6"/>
      <c r="D133" s="78"/>
      <c r="F133" s="24"/>
    </row>
    <row r="134" spans="1:6" x14ac:dyDescent="0.3">
      <c r="A134" s="1"/>
      <c r="C134" s="6"/>
      <c r="F134" s="24"/>
    </row>
    <row r="135" spans="1:6" x14ac:dyDescent="0.3">
      <c r="A135" s="1"/>
      <c r="C135" s="6"/>
      <c r="F135" s="24"/>
    </row>
    <row r="136" spans="1:6" x14ac:dyDescent="0.3">
      <c r="A136" s="1"/>
      <c r="C136" s="6"/>
      <c r="F136" s="24"/>
    </row>
    <row r="137" spans="1:6" x14ac:dyDescent="0.3">
      <c r="A137" s="1"/>
      <c r="C137" s="6"/>
      <c r="F137" s="24"/>
    </row>
    <row r="138" spans="1:6" x14ac:dyDescent="0.3">
      <c r="A138" s="1"/>
      <c r="C138" s="6"/>
      <c r="F138" s="24"/>
    </row>
    <row r="139" spans="1:6" x14ac:dyDescent="0.3">
      <c r="A139" s="1"/>
      <c r="C139" s="6"/>
      <c r="F139" s="24"/>
    </row>
    <row r="140" spans="1:6" x14ac:dyDescent="0.3">
      <c r="A140" s="1"/>
      <c r="C140" s="6"/>
      <c r="F140" s="24"/>
    </row>
    <row r="141" spans="1:6" x14ac:dyDescent="0.3">
      <c r="A141" s="1"/>
      <c r="C141" s="6"/>
      <c r="F141" s="24"/>
    </row>
    <row r="142" spans="1:6" x14ac:dyDescent="0.3">
      <c r="A142" s="1"/>
      <c r="C142" s="6"/>
      <c r="F142" s="24"/>
    </row>
    <row r="143" spans="1:6" x14ac:dyDescent="0.3">
      <c r="A143" s="1"/>
      <c r="C143" s="6"/>
      <c r="F143" s="24"/>
    </row>
    <row r="144" spans="1:6" x14ac:dyDescent="0.3">
      <c r="A144" s="1"/>
      <c r="C144" s="6"/>
      <c r="F144" s="24"/>
    </row>
    <row r="145" spans="1:6" x14ac:dyDescent="0.3">
      <c r="A145" s="1"/>
      <c r="C145" s="6"/>
      <c r="F145" s="24"/>
    </row>
    <row r="146" spans="1:6" x14ac:dyDescent="0.3">
      <c r="A146" s="1"/>
      <c r="C146" s="6"/>
      <c r="F146" s="24"/>
    </row>
    <row r="147" spans="1:6" x14ac:dyDescent="0.3">
      <c r="A147" s="1"/>
      <c r="C147" s="6"/>
      <c r="F147" s="24"/>
    </row>
    <row r="148" spans="1:6" x14ac:dyDescent="0.3">
      <c r="A148" s="1"/>
      <c r="C148" s="6"/>
      <c r="F148" s="24"/>
    </row>
    <row r="149" spans="1:6" x14ac:dyDescent="0.3">
      <c r="A149" s="1"/>
      <c r="C149" s="6"/>
      <c r="F149" s="24"/>
    </row>
    <row r="150" spans="1:6" x14ac:dyDescent="0.3">
      <c r="A150" s="1"/>
      <c r="C150" s="6"/>
      <c r="F150" s="24"/>
    </row>
    <row r="151" spans="1:6" x14ac:dyDescent="0.3">
      <c r="A151" s="1"/>
      <c r="C151" s="6"/>
      <c r="F151" s="24"/>
    </row>
    <row r="152" spans="1:6" x14ac:dyDescent="0.3">
      <c r="A152" s="1"/>
      <c r="C152" s="6"/>
      <c r="F152" s="24"/>
    </row>
    <row r="153" spans="1:6" x14ac:dyDescent="0.3">
      <c r="A153" s="1"/>
      <c r="C153" s="6"/>
      <c r="F153" s="24"/>
    </row>
    <row r="154" spans="1:6" x14ac:dyDescent="0.3">
      <c r="A154" s="1"/>
      <c r="C154" s="6"/>
      <c r="F154" s="24"/>
    </row>
    <row r="155" spans="1:6" x14ac:dyDescent="0.3">
      <c r="A155" s="1"/>
      <c r="C155" s="6"/>
      <c r="F155" s="24"/>
    </row>
    <row r="156" spans="1:6" x14ac:dyDescent="0.3">
      <c r="A156" s="1"/>
      <c r="C156" s="6"/>
      <c r="F156" s="24"/>
    </row>
    <row r="157" spans="1:6" x14ac:dyDescent="0.3">
      <c r="A157" s="1"/>
      <c r="C157" s="6"/>
      <c r="F157" s="24"/>
    </row>
    <row r="158" spans="1:6" x14ac:dyDescent="0.3">
      <c r="A158" s="1"/>
      <c r="C158" s="6"/>
      <c r="F158" s="24"/>
    </row>
    <row r="159" spans="1:6" x14ac:dyDescent="0.3">
      <c r="A159" s="1"/>
      <c r="C159" s="6"/>
      <c r="F159" s="24"/>
    </row>
    <row r="160" spans="1:6" x14ac:dyDescent="0.3">
      <c r="A160" s="1"/>
      <c r="C160" s="6"/>
      <c r="F160" s="24"/>
    </row>
    <row r="161" spans="1:6" x14ac:dyDescent="0.3">
      <c r="A161" s="1"/>
      <c r="C161" s="6"/>
      <c r="F161" s="24"/>
    </row>
    <row r="162" spans="1:6" x14ac:dyDescent="0.3">
      <c r="A162" s="1"/>
      <c r="C162" s="6"/>
      <c r="F162" s="24"/>
    </row>
    <row r="163" spans="1:6" x14ac:dyDescent="0.3">
      <c r="A163" s="1"/>
      <c r="C163" s="6"/>
      <c r="F163" s="24"/>
    </row>
    <row r="164" spans="1:6" x14ac:dyDescent="0.3">
      <c r="A164" s="1"/>
      <c r="C164" s="6"/>
      <c r="F164" s="24"/>
    </row>
    <row r="165" spans="1:6" x14ac:dyDescent="0.3">
      <c r="A165" s="1"/>
      <c r="C165" s="6"/>
      <c r="F165" s="24"/>
    </row>
    <row r="166" spans="1:6" x14ac:dyDescent="0.3">
      <c r="A166" s="1"/>
      <c r="C166" s="6"/>
      <c r="F166" s="24"/>
    </row>
    <row r="167" spans="1:6" x14ac:dyDescent="0.3">
      <c r="A167" s="1"/>
      <c r="C167" s="6"/>
      <c r="F167" s="24"/>
    </row>
    <row r="168" spans="1:6" x14ac:dyDescent="0.3">
      <c r="A168" s="1"/>
      <c r="C168" s="6"/>
      <c r="F168" s="24"/>
    </row>
    <row r="169" spans="1:6" x14ac:dyDescent="0.3">
      <c r="A169" s="1"/>
      <c r="C169" s="6"/>
      <c r="F169" s="24"/>
    </row>
    <row r="170" spans="1:6" x14ac:dyDescent="0.3">
      <c r="A170" s="1"/>
      <c r="C170" s="6"/>
      <c r="F170" s="24"/>
    </row>
    <row r="171" spans="1:6" x14ac:dyDescent="0.3">
      <c r="A171" s="1"/>
      <c r="C171" s="6"/>
      <c r="F171" s="24"/>
    </row>
    <row r="172" spans="1:6" x14ac:dyDescent="0.3">
      <c r="A172" s="1"/>
      <c r="C172" s="6"/>
      <c r="F172" s="24"/>
    </row>
    <row r="173" spans="1:6" x14ac:dyDescent="0.3">
      <c r="A173" s="1"/>
      <c r="C173" s="6"/>
      <c r="F173" s="24"/>
    </row>
    <row r="174" spans="1:6" x14ac:dyDescent="0.3">
      <c r="A174" s="1"/>
      <c r="C174" s="6"/>
      <c r="F174" s="24"/>
    </row>
    <row r="175" spans="1:6" x14ac:dyDescent="0.3">
      <c r="A175" s="1"/>
      <c r="C175" s="6"/>
      <c r="F175" s="24"/>
    </row>
    <row r="176" spans="1:6" x14ac:dyDescent="0.3">
      <c r="A176" s="1"/>
      <c r="C176" s="6"/>
      <c r="F176" s="24"/>
    </row>
    <row r="177" spans="1:9" x14ac:dyDescent="0.3">
      <c r="A177" s="1"/>
      <c r="C177" s="6"/>
      <c r="F177" s="24"/>
    </row>
    <row r="178" spans="1:9" x14ac:dyDescent="0.3">
      <c r="A178" s="1"/>
      <c r="C178" s="6"/>
      <c r="F178" s="24"/>
    </row>
    <row r="179" spans="1:9" x14ac:dyDescent="0.3">
      <c r="A179" s="1"/>
      <c r="C179" s="6"/>
      <c r="F179" s="24"/>
    </row>
    <row r="180" spans="1:9" x14ac:dyDescent="0.3">
      <c r="A180" s="1"/>
      <c r="C180" s="6"/>
      <c r="F180" s="24"/>
    </row>
    <row r="181" spans="1:9" x14ac:dyDescent="0.3">
      <c r="A181" s="1"/>
      <c r="C181" s="6"/>
      <c r="F181" s="24"/>
    </row>
    <row r="182" spans="1:9" x14ac:dyDescent="0.3">
      <c r="A182" s="1"/>
      <c r="C182" s="6"/>
      <c r="F182" s="24"/>
    </row>
    <row r="183" spans="1:9" x14ac:dyDescent="0.3">
      <c r="A183" s="1"/>
      <c r="C183" s="6"/>
      <c r="F183" s="24"/>
    </row>
    <row r="184" spans="1:9" x14ac:dyDescent="0.3">
      <c r="A184" s="1"/>
      <c r="C184" s="6"/>
      <c r="F184" s="24"/>
    </row>
    <row r="185" spans="1:9" x14ac:dyDescent="0.3">
      <c r="A185" s="1"/>
      <c r="C185" s="6"/>
      <c r="F185" s="24"/>
    </row>
    <row r="186" spans="1:9" x14ac:dyDescent="0.3">
      <c r="A186" s="1"/>
      <c r="C186" s="6"/>
      <c r="F186" s="24"/>
    </row>
    <row r="187" spans="1:9" x14ac:dyDescent="0.3">
      <c r="A187" s="1"/>
      <c r="C187" s="6"/>
      <c r="F187" s="24"/>
      <c r="I187" s="7"/>
    </row>
    <row r="188" spans="1:9" x14ac:dyDescent="0.3">
      <c r="A188" s="1"/>
      <c r="C188" s="6"/>
      <c r="F188" s="24"/>
    </row>
    <row r="189" spans="1:9" x14ac:dyDescent="0.3">
      <c r="A189" s="1"/>
      <c r="C189" s="6"/>
      <c r="F189" s="24"/>
    </row>
    <row r="190" spans="1:9" x14ac:dyDescent="0.3">
      <c r="A190" s="1"/>
      <c r="C190" s="6"/>
      <c r="F190" s="24"/>
    </row>
    <row r="191" spans="1:9" x14ac:dyDescent="0.3">
      <c r="A191" s="1"/>
      <c r="C191" s="6"/>
      <c r="F191" s="24"/>
    </row>
    <row r="192" spans="1:9" x14ac:dyDescent="0.3">
      <c r="A192" s="1"/>
      <c r="C192" s="6"/>
      <c r="F192" s="24"/>
    </row>
    <row r="193" spans="1:6" x14ac:dyDescent="0.3">
      <c r="A193" s="1"/>
      <c r="C193" s="6"/>
      <c r="F193" s="24"/>
    </row>
    <row r="194" spans="1:6" x14ac:dyDescent="0.3">
      <c r="A194" s="1"/>
      <c r="C194" s="6"/>
      <c r="F194" s="24"/>
    </row>
    <row r="195" spans="1:6" x14ac:dyDescent="0.3">
      <c r="A195" s="1"/>
      <c r="C195" s="6"/>
      <c r="F195" s="8"/>
    </row>
    <row r="196" spans="1:6" x14ac:dyDescent="0.3">
      <c r="A196" s="1"/>
      <c r="C196" s="6"/>
      <c r="F196" s="24"/>
    </row>
    <row r="197" spans="1:6" x14ac:dyDescent="0.3">
      <c r="A197" s="1"/>
      <c r="C197" s="6"/>
      <c r="F197" s="24"/>
    </row>
    <row r="198" spans="1:6" x14ac:dyDescent="0.3">
      <c r="A198" s="1"/>
      <c r="C198" s="6"/>
      <c r="F198" s="24"/>
    </row>
    <row r="199" spans="1:6" x14ac:dyDescent="0.3">
      <c r="A199" s="1"/>
      <c r="C199" s="6"/>
      <c r="F199" s="24"/>
    </row>
    <row r="200" spans="1:6" x14ac:dyDescent="0.3">
      <c r="A200" s="1"/>
      <c r="C200" s="6"/>
      <c r="F200" s="24"/>
    </row>
    <row r="201" spans="1:6" x14ac:dyDescent="0.3">
      <c r="A201" s="1"/>
      <c r="C201" s="6"/>
      <c r="F201" s="24"/>
    </row>
    <row r="202" spans="1:6" x14ac:dyDescent="0.3">
      <c r="A202" s="1"/>
      <c r="C202" s="6"/>
      <c r="F202" s="8"/>
    </row>
    <row r="203" spans="1:6" x14ac:dyDescent="0.3">
      <c r="A203" s="1"/>
      <c r="C203" s="6"/>
      <c r="F203" s="8"/>
    </row>
    <row r="204" spans="1:6" x14ac:dyDescent="0.3">
      <c r="A204" s="1"/>
      <c r="C204" s="6"/>
      <c r="F204" s="8"/>
    </row>
    <row r="205" spans="1:6" x14ac:dyDescent="0.3">
      <c r="A205" s="1"/>
      <c r="C205" s="6"/>
      <c r="F205" s="8"/>
    </row>
    <row r="206" spans="1:6" x14ac:dyDescent="0.3">
      <c r="A206" s="1"/>
      <c r="C206" s="6"/>
      <c r="F206" s="8"/>
    </row>
    <row r="207" spans="1:6" x14ac:dyDescent="0.3">
      <c r="A207" s="1"/>
      <c r="C207" s="6"/>
      <c r="F207" s="8"/>
    </row>
    <row r="208" spans="1:6" x14ac:dyDescent="0.3">
      <c r="A208" s="1"/>
      <c r="C208" s="6"/>
      <c r="F208" s="8"/>
    </row>
    <row r="209" spans="1:6" x14ac:dyDescent="0.3">
      <c r="A209" s="1"/>
      <c r="C209" s="6"/>
      <c r="F209" s="8"/>
    </row>
    <row r="210" spans="1:6" x14ac:dyDescent="0.3">
      <c r="A210" s="1"/>
      <c r="C210" s="6"/>
      <c r="F210" s="8"/>
    </row>
    <row r="211" spans="1:6" x14ac:dyDescent="0.3">
      <c r="A211" s="1"/>
      <c r="C211" s="6"/>
      <c r="F211" s="8"/>
    </row>
    <row r="212" spans="1:6" x14ac:dyDescent="0.3">
      <c r="A212" s="1"/>
      <c r="C212" s="6"/>
      <c r="F212" s="8"/>
    </row>
    <row r="213" spans="1:6" x14ac:dyDescent="0.3">
      <c r="A213" s="1"/>
      <c r="C213" s="6"/>
      <c r="F213" s="8"/>
    </row>
    <row r="214" spans="1:6" x14ac:dyDescent="0.3">
      <c r="A214" s="1"/>
      <c r="C214" s="6"/>
      <c r="F214" s="8"/>
    </row>
    <row r="215" spans="1:6" x14ac:dyDescent="0.3">
      <c r="A215" s="1"/>
      <c r="C215" s="6"/>
      <c r="F215" s="8"/>
    </row>
    <row r="216" spans="1:6" x14ac:dyDescent="0.3">
      <c r="A216" s="1"/>
      <c r="C216" s="6"/>
      <c r="F216" s="8"/>
    </row>
    <row r="217" spans="1:6" x14ac:dyDescent="0.3">
      <c r="A217" s="1"/>
      <c r="C217" s="6"/>
      <c r="F217" s="8"/>
    </row>
    <row r="218" spans="1:6" x14ac:dyDescent="0.3">
      <c r="A218" s="1"/>
      <c r="C218" s="6"/>
      <c r="F218" s="8"/>
    </row>
    <row r="219" spans="1:6" x14ac:dyDescent="0.3">
      <c r="A219" s="1"/>
      <c r="C219" s="6"/>
      <c r="F219" s="8"/>
    </row>
    <row r="220" spans="1:6" x14ac:dyDescent="0.3">
      <c r="A220" s="1"/>
      <c r="C220" s="6"/>
      <c r="F220" s="8"/>
    </row>
    <row r="221" spans="1:6" x14ac:dyDescent="0.3">
      <c r="A221" s="1"/>
      <c r="C221" s="6"/>
      <c r="F221" s="8"/>
    </row>
    <row r="222" spans="1:6" x14ac:dyDescent="0.3">
      <c r="A222" s="1"/>
      <c r="C222" s="6"/>
      <c r="F222" s="8"/>
    </row>
    <row r="223" spans="1:6" x14ac:dyDescent="0.3">
      <c r="A223" s="1"/>
      <c r="C223" s="6"/>
      <c r="F223" s="8"/>
    </row>
    <row r="224" spans="1:6" x14ac:dyDescent="0.3">
      <c r="A224" s="1"/>
      <c r="C224" s="6"/>
      <c r="F224" s="8"/>
    </row>
    <row r="225" spans="1:9" x14ac:dyDescent="0.3">
      <c r="A225" s="1"/>
      <c r="C225" s="6"/>
      <c r="F225" s="8"/>
    </row>
    <row r="226" spans="1:9" x14ac:dyDescent="0.3">
      <c r="A226" s="1"/>
      <c r="C226" s="6"/>
      <c r="F226" s="8"/>
    </row>
    <row r="227" spans="1:9" x14ac:dyDescent="0.3">
      <c r="A227" s="1"/>
      <c r="C227" s="6"/>
      <c r="F227" s="8"/>
    </row>
    <row r="228" spans="1:9" x14ac:dyDescent="0.3">
      <c r="A228" s="1"/>
      <c r="C228" s="6"/>
      <c r="F228" s="8"/>
    </row>
    <row r="229" spans="1:9" x14ac:dyDescent="0.3">
      <c r="A229" s="1"/>
      <c r="C229" s="6"/>
      <c r="F229" s="8"/>
    </row>
    <row r="230" spans="1:9" x14ac:dyDescent="0.3">
      <c r="A230" s="1"/>
      <c r="C230" s="6"/>
      <c r="F230" s="8"/>
    </row>
    <row r="231" spans="1:9" x14ac:dyDescent="0.3">
      <c r="A231" s="1"/>
      <c r="C231" s="6"/>
      <c r="F231" s="8"/>
    </row>
    <row r="232" spans="1:9" x14ac:dyDescent="0.3">
      <c r="A232" s="1"/>
      <c r="C232" s="6"/>
      <c r="F232" s="8"/>
    </row>
    <row r="233" spans="1:9" x14ac:dyDescent="0.3">
      <c r="A233" s="1"/>
      <c r="C233" s="6"/>
      <c r="F233" s="8"/>
    </row>
    <row r="234" spans="1:9" x14ac:dyDescent="0.3">
      <c r="A234" s="1"/>
      <c r="C234" s="6"/>
      <c r="F234" s="8"/>
    </row>
    <row r="235" spans="1:9" x14ac:dyDescent="0.3">
      <c r="A235" s="1"/>
      <c r="C235" s="6"/>
      <c r="F235" s="8"/>
    </row>
    <row r="236" spans="1:9" x14ac:dyDescent="0.3">
      <c r="A236" s="1"/>
      <c r="C236" s="6"/>
      <c r="F236" s="8"/>
      <c r="H236" s="1"/>
      <c r="I236" s="2"/>
    </row>
    <row r="237" spans="1:9" x14ac:dyDescent="0.3">
      <c r="A237" s="1"/>
      <c r="C237" s="6"/>
      <c r="F237" s="8"/>
      <c r="H237" s="1"/>
      <c r="I237" s="2"/>
    </row>
    <row r="238" spans="1:9" x14ac:dyDescent="0.3">
      <c r="A238" s="1"/>
      <c r="C238" s="6"/>
      <c r="F238" s="8"/>
      <c r="H238" s="1"/>
      <c r="I238" s="2"/>
    </row>
    <row r="239" spans="1:9" x14ac:dyDescent="0.3">
      <c r="A239" s="1"/>
      <c r="C239" s="6"/>
      <c r="F239" s="8"/>
      <c r="H239" s="1"/>
      <c r="I239" s="2"/>
    </row>
    <row r="240" spans="1:9" x14ac:dyDescent="0.3">
      <c r="A240" s="1"/>
      <c r="C240" s="58"/>
      <c r="F240" s="8"/>
      <c r="H240" s="1"/>
      <c r="I240" s="2"/>
    </row>
    <row r="241" spans="1:9" x14ac:dyDescent="0.3">
      <c r="A241" s="1"/>
      <c r="C241" s="58"/>
      <c r="F241" s="8"/>
      <c r="H241" s="1"/>
      <c r="I241" s="2"/>
    </row>
    <row r="242" spans="1:9" x14ac:dyDescent="0.3">
      <c r="A242" s="1"/>
      <c r="C242" s="58"/>
      <c r="F242" s="8"/>
      <c r="H242" s="1"/>
      <c r="I242" s="2"/>
    </row>
    <row r="243" spans="1:9" x14ac:dyDescent="0.3">
      <c r="A243" s="1"/>
      <c r="C243" s="58"/>
      <c r="F243" s="8"/>
      <c r="H243" s="1"/>
      <c r="I243" s="2"/>
    </row>
    <row r="244" spans="1:9" x14ac:dyDescent="0.3">
      <c r="A244" s="3"/>
      <c r="B244" s="5"/>
      <c r="C244" s="5"/>
      <c r="D244" s="5"/>
      <c r="E244" s="5"/>
    </row>
    <row r="245" spans="1:9" x14ac:dyDescent="0.3">
      <c r="A245" s="3"/>
      <c r="B245" s="5"/>
      <c r="C245" s="5"/>
      <c r="D245" s="5"/>
      <c r="E245" s="5"/>
    </row>
    <row r="246" spans="1:9" x14ac:dyDescent="0.3">
      <c r="A246" s="3"/>
      <c r="B246" s="5"/>
      <c r="C246" s="5"/>
      <c r="D246" s="5"/>
      <c r="E246" s="5"/>
    </row>
    <row r="247" spans="1:9" x14ac:dyDescent="0.3">
      <c r="A247" s="3"/>
      <c r="B247" s="5"/>
      <c r="C247" s="5"/>
      <c r="D247" s="5"/>
      <c r="E247" s="5"/>
    </row>
    <row r="248" spans="1:9" x14ac:dyDescent="0.3">
      <c r="A248" s="3"/>
      <c r="B248" s="5"/>
      <c r="C248" s="5"/>
      <c r="D248" s="5"/>
      <c r="E248" s="5"/>
    </row>
    <row r="249" spans="1:9" x14ac:dyDescent="0.3">
      <c r="A249" s="3"/>
      <c r="B249" s="5"/>
      <c r="C249" s="5"/>
      <c r="D249" s="5"/>
      <c r="E249" s="5"/>
    </row>
    <row r="250" spans="1:9" x14ac:dyDescent="0.3">
      <c r="A250" s="3"/>
      <c r="B250" s="5"/>
      <c r="C250" s="5"/>
      <c r="D250" s="5"/>
      <c r="E250" s="5"/>
    </row>
  </sheetData>
  <autoFilter ref="A1:G49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income_hide">
                <anchor moveWithCells="1" sizeWithCells="1">
                  <from>
                    <xdr:col>7</xdr:col>
                    <xdr:colOff>236220</xdr:colOff>
                    <xdr:row>0</xdr:row>
                    <xdr:rowOff>7620</xdr:rowOff>
                  </from>
                  <to>
                    <xdr:col>8</xdr:col>
                    <xdr:colOff>632460</xdr:colOff>
                    <xdr:row>49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datatypes!$A$2:$A$5</xm:f>
          </x14:formula1>
          <xm:sqref>B236:B239</xm:sqref>
        </x14:dataValidation>
        <x14:dataValidation type="list" allowBlank="1" showInputMessage="1" showErrorMessage="1" errorTitle="Seleccionar talla válida">
          <x14:formula1>
            <xm:f>datatypes!$A$2:$A$5</xm:f>
          </x14:formula1>
          <xm:sqref>B86:B235</xm:sqref>
        </x14:dataValidation>
        <x14:dataValidation type="list" allowBlank="1" showInputMessage="1" showErrorMessage="1" errorTitle="Seleccionar talla válida">
          <x14:formula1>
            <xm:f>datatypes!$A$2:$A$8</xm:f>
          </x14:formula1>
          <xm:sqref>B50:B85</xm:sqref>
        </x14:dataValidation>
        <x14:dataValidation type="list" allowBlank="1" showInputMessage="1" showErrorMessage="1">
          <x14:formula1>
            <xm:f>datatypes!$E$2:$E$3</xm:f>
          </x14:formula1>
          <xm:sqref>E236:E243 E3:E234</xm:sqref>
        </x14:dataValidation>
        <x14:dataValidation type="list" allowBlank="1" showInputMessage="1" showErrorMessage="1" errorTitle="Seleccionar talla válida">
          <x14:formula1>
            <xm:f>datatypes!$A$2:$A$20</xm:f>
          </x14:formula1>
          <xm:sqref>B24:B49</xm:sqref>
        </x14:dataValidation>
        <x14:dataValidation type="list" allowBlank="1" showInputMessage="1" showErrorMessage="1" errorTitle="Seleccionar talla válida">
          <x14:formula1>
            <xm:f>datatypes!$A$2:$A$28</xm:f>
          </x14:formula1>
          <xm:sqref>B20:B23</xm:sqref>
        </x14:dataValidation>
        <x14:dataValidation type="list" allowBlank="1" showInputMessage="1" showErrorMessage="1">
          <x14:formula1>
            <xm:f>datatypes!$A$2:$A$28</xm:f>
          </x14:formula1>
          <xm:sqref>B14:B19</xm:sqref>
        </x14:dataValidation>
        <x14:dataValidation type="list" allowBlank="1" showInputMessage="1" showErrorMessage="1">
          <x14:formula1>
            <xm:f>datatypes!$A$2:$A$29</xm:f>
          </x14:formula1>
          <xm:sqref>B3:B13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H122"/>
  <sheetViews>
    <sheetView topLeftCell="A3" workbookViewId="0">
      <selection activeCell="A3" sqref="A3:G3"/>
    </sheetView>
  </sheetViews>
  <sheetFormatPr baseColWidth="10" defaultColWidth="11.44140625" defaultRowHeight="14.4" x14ac:dyDescent="0.3"/>
  <cols>
    <col min="2" max="2" width="19.21875" bestFit="1" customWidth="1"/>
  </cols>
  <sheetData>
    <row r="1" spans="1:7" x14ac:dyDescent="0.3">
      <c r="A1" s="5" t="s">
        <v>0</v>
      </c>
      <c r="B1" s="9" t="s">
        <v>11</v>
      </c>
      <c r="C1" s="5" t="s">
        <v>12</v>
      </c>
      <c r="D1" s="5" t="s">
        <v>13</v>
      </c>
      <c r="E1" s="5" t="s">
        <v>4</v>
      </c>
      <c r="F1" s="5" t="s">
        <v>3</v>
      </c>
    </row>
    <row r="2" spans="1:7" x14ac:dyDescent="0.3">
      <c r="A2" s="5"/>
      <c r="B2" s="9"/>
      <c r="C2" s="5"/>
      <c r="D2" s="5"/>
      <c r="E2" s="5"/>
      <c r="F2" s="5"/>
    </row>
    <row r="3" spans="1:7" x14ac:dyDescent="0.3">
      <c r="A3" s="106">
        <v>44244</v>
      </c>
      <c r="B3" s="100" t="s">
        <v>157</v>
      </c>
      <c r="C3" s="7">
        <v>1000</v>
      </c>
      <c r="D3">
        <v>4</v>
      </c>
      <c r="E3" s="8" t="s">
        <v>17</v>
      </c>
      <c r="F3" s="7">
        <f t="shared" ref="F3" si="0">C3*D3</f>
        <v>4000</v>
      </c>
      <c r="G3">
        <f t="shared" ref="G3" si="1">IF(A3&lt;&gt;"",MONTH(A3),"")</f>
        <v>2</v>
      </c>
    </row>
    <row r="4" spans="1:7" x14ac:dyDescent="0.3">
      <c r="A4" s="106">
        <v>44244</v>
      </c>
      <c r="B4" s="100" t="s">
        <v>127</v>
      </c>
      <c r="C4" s="7">
        <v>11000</v>
      </c>
      <c r="D4">
        <v>2</v>
      </c>
      <c r="E4" s="8" t="s">
        <v>17</v>
      </c>
      <c r="F4" s="7">
        <f t="shared" ref="F4:F7" si="2">C4*D4</f>
        <v>22000</v>
      </c>
      <c r="G4">
        <f t="shared" ref="G4:G7" si="3">IF(A4&lt;&gt;"",MONTH(A4),"")</f>
        <v>2</v>
      </c>
    </row>
    <row r="5" spans="1:7" x14ac:dyDescent="0.3">
      <c r="A5" s="106">
        <v>44244</v>
      </c>
      <c r="B5" s="100" t="s">
        <v>128</v>
      </c>
      <c r="C5" s="7">
        <v>13000</v>
      </c>
      <c r="D5">
        <v>6</v>
      </c>
      <c r="E5" s="8" t="s">
        <v>17</v>
      </c>
      <c r="F5" s="8">
        <f t="shared" si="2"/>
        <v>78000</v>
      </c>
      <c r="G5">
        <f t="shared" si="3"/>
        <v>2</v>
      </c>
    </row>
    <row r="6" spans="1:7" x14ac:dyDescent="0.3">
      <c r="A6" s="106">
        <v>44244</v>
      </c>
      <c r="B6" s="100" t="s">
        <v>129</v>
      </c>
      <c r="C6" s="7">
        <v>17000</v>
      </c>
      <c r="D6">
        <v>4</v>
      </c>
      <c r="E6" s="8" t="s">
        <v>17</v>
      </c>
      <c r="F6" s="8">
        <f t="shared" si="2"/>
        <v>68000</v>
      </c>
      <c r="G6">
        <f t="shared" si="3"/>
        <v>2</v>
      </c>
    </row>
    <row r="7" spans="1:7" x14ac:dyDescent="0.3">
      <c r="A7" s="106">
        <v>44244</v>
      </c>
      <c r="B7" s="100" t="s">
        <v>124</v>
      </c>
      <c r="C7" s="7">
        <v>1000</v>
      </c>
      <c r="D7">
        <v>29</v>
      </c>
      <c r="E7" s="8" t="s">
        <v>17</v>
      </c>
      <c r="F7" s="8">
        <f t="shared" si="2"/>
        <v>29000</v>
      </c>
      <c r="G7">
        <f t="shared" si="3"/>
        <v>2</v>
      </c>
    </row>
    <row r="8" spans="1:7" x14ac:dyDescent="0.3">
      <c r="A8" s="106">
        <v>44228</v>
      </c>
      <c r="B8" s="100" t="s">
        <v>124</v>
      </c>
      <c r="C8" s="7">
        <v>1300</v>
      </c>
      <c r="D8">
        <v>2</v>
      </c>
      <c r="E8" s="8" t="s">
        <v>17</v>
      </c>
      <c r="F8" s="7">
        <f>C8*D8</f>
        <v>2600</v>
      </c>
      <c r="G8">
        <f>IF(A8&lt;&gt;"",MONTH(A8),"")</f>
        <v>2</v>
      </c>
    </row>
    <row r="9" spans="1:7" x14ac:dyDescent="0.3">
      <c r="A9" s="106">
        <v>44228</v>
      </c>
      <c r="B9" s="100" t="s">
        <v>125</v>
      </c>
      <c r="C9" s="7">
        <v>1400</v>
      </c>
      <c r="D9">
        <v>1</v>
      </c>
      <c r="E9" s="8" t="s">
        <v>17</v>
      </c>
      <c r="F9" s="8">
        <f t="shared" ref="F9" si="4">C9*D9</f>
        <v>1400</v>
      </c>
      <c r="G9">
        <f t="shared" ref="G9" si="5">IF(A9&lt;&gt;"",MONTH(A9),"")</f>
        <v>2</v>
      </c>
    </row>
    <row r="10" spans="1:7" x14ac:dyDescent="0.3">
      <c r="A10" s="106">
        <v>44232</v>
      </c>
      <c r="B10" s="100" t="s">
        <v>147</v>
      </c>
      <c r="C10" s="7">
        <v>2370</v>
      </c>
      <c r="D10">
        <v>5</v>
      </c>
      <c r="E10" s="8" t="s">
        <v>17</v>
      </c>
      <c r="F10" s="7">
        <f>C10*D10</f>
        <v>11850</v>
      </c>
      <c r="G10">
        <f>IF(A10&lt;&gt;"",MONTH(A10),"")</f>
        <v>2</v>
      </c>
    </row>
    <row r="11" spans="1:7" x14ac:dyDescent="0.3">
      <c r="A11" s="106">
        <v>44232</v>
      </c>
      <c r="B11" s="100" t="s">
        <v>148</v>
      </c>
      <c r="C11" s="7">
        <v>1670</v>
      </c>
      <c r="D11">
        <v>5</v>
      </c>
      <c r="E11" s="8" t="s">
        <v>17</v>
      </c>
      <c r="F11" s="8">
        <f t="shared" ref="F11:F18" si="6">C11*D11</f>
        <v>8350</v>
      </c>
      <c r="G11">
        <f t="shared" ref="G11:G18" si="7">IF(A11&lt;&gt;"",MONTH(A11),"")</f>
        <v>2</v>
      </c>
    </row>
    <row r="12" spans="1:7" x14ac:dyDescent="0.3">
      <c r="A12" s="106">
        <v>44232</v>
      </c>
      <c r="B12" s="100" t="s">
        <v>149</v>
      </c>
      <c r="C12" s="7">
        <v>1900</v>
      </c>
      <c r="D12">
        <v>5</v>
      </c>
      <c r="E12" s="8" t="s">
        <v>17</v>
      </c>
      <c r="F12" s="8">
        <f t="shared" si="6"/>
        <v>9500</v>
      </c>
      <c r="G12">
        <f t="shared" si="7"/>
        <v>2</v>
      </c>
    </row>
    <row r="13" spans="1:7" x14ac:dyDescent="0.3">
      <c r="A13" s="106">
        <v>44232</v>
      </c>
      <c r="B13" s="100" t="s">
        <v>150</v>
      </c>
      <c r="C13" s="7">
        <v>820</v>
      </c>
      <c r="D13">
        <v>5</v>
      </c>
      <c r="E13" s="8" t="s">
        <v>17</v>
      </c>
      <c r="F13" s="8">
        <f t="shared" si="6"/>
        <v>4100</v>
      </c>
      <c r="G13">
        <f t="shared" si="7"/>
        <v>2</v>
      </c>
    </row>
    <row r="14" spans="1:7" x14ac:dyDescent="0.3">
      <c r="A14" s="106">
        <v>44232</v>
      </c>
      <c r="B14" s="100" t="s">
        <v>151</v>
      </c>
      <c r="C14" s="7">
        <v>990</v>
      </c>
      <c r="D14">
        <v>5</v>
      </c>
      <c r="E14" s="8" t="s">
        <v>17</v>
      </c>
      <c r="F14" s="8">
        <f t="shared" si="6"/>
        <v>4950</v>
      </c>
      <c r="G14">
        <f t="shared" si="7"/>
        <v>2</v>
      </c>
    </row>
    <row r="15" spans="1:7" x14ac:dyDescent="0.3">
      <c r="A15" s="106">
        <v>44232</v>
      </c>
      <c r="B15" s="100" t="s">
        <v>152</v>
      </c>
      <c r="C15" s="7">
        <v>970</v>
      </c>
      <c r="D15">
        <v>5</v>
      </c>
      <c r="E15" s="8" t="s">
        <v>17</v>
      </c>
      <c r="F15" s="8">
        <f t="shared" si="6"/>
        <v>4850</v>
      </c>
      <c r="G15">
        <f t="shared" si="7"/>
        <v>2</v>
      </c>
    </row>
    <row r="16" spans="1:7" x14ac:dyDescent="0.3">
      <c r="A16" s="106">
        <v>44232</v>
      </c>
      <c r="B16" s="100" t="s">
        <v>153</v>
      </c>
      <c r="C16" s="7">
        <v>1010</v>
      </c>
      <c r="D16">
        <v>5</v>
      </c>
      <c r="E16" s="8" t="s">
        <v>17</v>
      </c>
      <c r="F16" s="8">
        <f t="shared" si="6"/>
        <v>5050</v>
      </c>
      <c r="G16">
        <f t="shared" si="7"/>
        <v>2</v>
      </c>
    </row>
    <row r="17" spans="1:7" x14ac:dyDescent="0.3">
      <c r="A17" s="106">
        <v>44232</v>
      </c>
      <c r="B17" s="100" t="s">
        <v>154</v>
      </c>
      <c r="C17" s="7">
        <v>860</v>
      </c>
      <c r="D17">
        <v>5</v>
      </c>
      <c r="E17" s="8" t="s">
        <v>17</v>
      </c>
      <c r="F17" s="8">
        <f t="shared" si="6"/>
        <v>4300</v>
      </c>
      <c r="G17">
        <f t="shared" si="7"/>
        <v>2</v>
      </c>
    </row>
    <row r="18" spans="1:7" x14ac:dyDescent="0.3">
      <c r="A18" s="106">
        <v>44232</v>
      </c>
      <c r="B18" s="100" t="s">
        <v>115</v>
      </c>
      <c r="C18" s="7">
        <v>3980</v>
      </c>
      <c r="D18">
        <v>2</v>
      </c>
      <c r="E18" s="8" t="s">
        <v>17</v>
      </c>
      <c r="F18" s="8">
        <f t="shared" si="6"/>
        <v>7960</v>
      </c>
      <c r="G18">
        <f t="shared" si="7"/>
        <v>2</v>
      </c>
    </row>
    <row r="19" spans="1:7" x14ac:dyDescent="0.3">
      <c r="A19" s="1">
        <v>44212</v>
      </c>
      <c r="B19" s="100" t="s">
        <v>128</v>
      </c>
      <c r="C19" s="7">
        <v>13000</v>
      </c>
      <c r="D19">
        <v>4</v>
      </c>
      <c r="E19" s="8" t="s">
        <v>17</v>
      </c>
      <c r="F19" s="8">
        <f>C19*D19</f>
        <v>52000</v>
      </c>
      <c r="G19">
        <f>IF(A19&lt;&gt;"",MONTH(A19),"")</f>
        <v>1</v>
      </c>
    </row>
    <row r="20" spans="1:7" x14ac:dyDescent="0.3">
      <c r="A20" s="1">
        <v>44212</v>
      </c>
      <c r="B20" s="100" t="s">
        <v>129</v>
      </c>
      <c r="C20" s="7">
        <v>17000</v>
      </c>
      <c r="D20">
        <v>4</v>
      </c>
      <c r="E20" s="8" t="s">
        <v>17</v>
      </c>
      <c r="F20" s="8">
        <f t="shared" ref="F20:F21" si="8">C20*D20</f>
        <v>68000</v>
      </c>
      <c r="G20">
        <f t="shared" ref="G20:G21" si="9">IF(A20&lt;&gt;"",MONTH(A20),"")</f>
        <v>1</v>
      </c>
    </row>
    <row r="21" spans="1:7" x14ac:dyDescent="0.3">
      <c r="A21" s="1">
        <v>44212</v>
      </c>
      <c r="B21" s="100" t="s">
        <v>127</v>
      </c>
      <c r="C21" s="7">
        <v>11000</v>
      </c>
      <c r="D21">
        <v>4</v>
      </c>
      <c r="E21" s="8" t="s">
        <v>17</v>
      </c>
      <c r="F21" s="8">
        <f t="shared" si="8"/>
        <v>44000</v>
      </c>
      <c r="G21">
        <f t="shared" si="9"/>
        <v>1</v>
      </c>
    </row>
    <row r="22" spans="1:7" x14ac:dyDescent="0.3">
      <c r="A22" s="1">
        <v>44197</v>
      </c>
      <c r="B22" s="100" t="s">
        <v>129</v>
      </c>
      <c r="C22" s="7">
        <v>16000</v>
      </c>
      <c r="D22">
        <v>7</v>
      </c>
      <c r="E22" s="8" t="s">
        <v>17</v>
      </c>
      <c r="F22" s="8">
        <f>C22*D22</f>
        <v>112000</v>
      </c>
      <c r="G22">
        <f>IF(A22&lt;&gt;"",MONTH(A22),"")</f>
        <v>1</v>
      </c>
    </row>
    <row r="23" spans="1:7" x14ac:dyDescent="0.3">
      <c r="A23" s="1">
        <v>44197</v>
      </c>
      <c r="B23" s="83" t="s">
        <v>111</v>
      </c>
      <c r="C23" s="7">
        <v>5210</v>
      </c>
      <c r="D23">
        <v>3</v>
      </c>
      <c r="E23" s="8" t="s">
        <v>17</v>
      </c>
      <c r="F23" s="8">
        <f>C23*D23</f>
        <v>15630</v>
      </c>
      <c r="G23">
        <f>IF(A23&lt;&gt;"",MONTH(A23),"")</f>
        <v>1</v>
      </c>
    </row>
    <row r="24" spans="1:7" x14ac:dyDescent="0.3">
      <c r="A24" s="1">
        <v>44197</v>
      </c>
      <c r="B24" s="83" t="s">
        <v>112</v>
      </c>
      <c r="C24" s="7">
        <v>1580</v>
      </c>
      <c r="D24">
        <v>6</v>
      </c>
      <c r="E24" s="8" t="s">
        <v>17</v>
      </c>
      <c r="F24" s="8">
        <f t="shared" ref="F24:F37" si="10">C24*D24</f>
        <v>9480</v>
      </c>
      <c r="G24">
        <f t="shared" ref="G24:G37" si="11">IF(A24&lt;&gt;"",MONTH(A24),"")</f>
        <v>1</v>
      </c>
    </row>
    <row r="25" spans="1:7" x14ac:dyDescent="0.3">
      <c r="A25" s="1">
        <v>44197</v>
      </c>
      <c r="B25" s="83" t="s">
        <v>113</v>
      </c>
      <c r="C25" s="7">
        <v>2040</v>
      </c>
      <c r="D25">
        <v>3</v>
      </c>
      <c r="E25" s="8" t="s">
        <v>17</v>
      </c>
      <c r="F25" s="8">
        <f t="shared" si="10"/>
        <v>6120</v>
      </c>
      <c r="G25">
        <f t="shared" si="11"/>
        <v>1</v>
      </c>
    </row>
    <row r="26" spans="1:7" x14ac:dyDescent="0.3">
      <c r="A26" s="1">
        <v>44197</v>
      </c>
      <c r="B26" s="83" t="s">
        <v>114</v>
      </c>
      <c r="C26" s="7">
        <v>2380</v>
      </c>
      <c r="D26">
        <v>4</v>
      </c>
      <c r="E26" s="8" t="s">
        <v>17</v>
      </c>
      <c r="F26" s="8">
        <f t="shared" si="10"/>
        <v>9520</v>
      </c>
      <c r="G26">
        <f t="shared" si="11"/>
        <v>1</v>
      </c>
    </row>
    <row r="27" spans="1:7" x14ac:dyDescent="0.3">
      <c r="A27" s="1">
        <v>44197</v>
      </c>
      <c r="B27" s="83" t="s">
        <v>115</v>
      </c>
      <c r="C27" s="7">
        <v>2560</v>
      </c>
      <c r="D27">
        <v>4</v>
      </c>
      <c r="E27" s="8" t="s">
        <v>17</v>
      </c>
      <c r="F27" s="8">
        <f t="shared" si="10"/>
        <v>10240</v>
      </c>
      <c r="G27">
        <f t="shared" si="11"/>
        <v>1</v>
      </c>
    </row>
    <row r="28" spans="1:7" x14ac:dyDescent="0.3">
      <c r="A28" s="1">
        <v>44197</v>
      </c>
      <c r="B28" s="83" t="s">
        <v>116</v>
      </c>
      <c r="C28" s="7">
        <v>3980</v>
      </c>
      <c r="D28">
        <v>4</v>
      </c>
      <c r="E28" s="8" t="s">
        <v>17</v>
      </c>
      <c r="F28" s="8">
        <f t="shared" si="10"/>
        <v>15920</v>
      </c>
      <c r="G28">
        <f t="shared" si="11"/>
        <v>1</v>
      </c>
    </row>
    <row r="29" spans="1:7" x14ac:dyDescent="0.3">
      <c r="A29" s="1">
        <v>44197</v>
      </c>
      <c r="B29" s="83" t="s">
        <v>117</v>
      </c>
      <c r="C29" s="7">
        <v>1420</v>
      </c>
      <c r="D29">
        <v>6</v>
      </c>
      <c r="E29" s="8" t="s">
        <v>17</v>
      </c>
      <c r="F29" s="8">
        <f t="shared" si="10"/>
        <v>8520</v>
      </c>
      <c r="G29">
        <f t="shared" si="11"/>
        <v>1</v>
      </c>
    </row>
    <row r="30" spans="1:7" x14ac:dyDescent="0.3">
      <c r="A30" s="1">
        <v>44197</v>
      </c>
      <c r="B30" s="83" t="s">
        <v>118</v>
      </c>
      <c r="C30" s="7">
        <v>2380</v>
      </c>
      <c r="D30">
        <v>5</v>
      </c>
      <c r="E30" s="8" t="s">
        <v>17</v>
      </c>
      <c r="F30" s="8">
        <f t="shared" si="10"/>
        <v>11900</v>
      </c>
      <c r="G30">
        <f t="shared" si="11"/>
        <v>1</v>
      </c>
    </row>
    <row r="31" spans="1:7" x14ac:dyDescent="0.3">
      <c r="A31" s="1">
        <v>44197</v>
      </c>
      <c r="B31" s="83" t="s">
        <v>119</v>
      </c>
      <c r="C31" s="7">
        <v>3030</v>
      </c>
      <c r="D31">
        <v>4</v>
      </c>
      <c r="E31" s="8" t="s">
        <v>17</v>
      </c>
      <c r="F31" s="8">
        <f t="shared" si="10"/>
        <v>12120</v>
      </c>
      <c r="G31">
        <f t="shared" si="11"/>
        <v>1</v>
      </c>
    </row>
    <row r="32" spans="1:7" x14ac:dyDescent="0.3">
      <c r="A32" s="1">
        <v>44197</v>
      </c>
      <c r="B32" s="83" t="s">
        <v>121</v>
      </c>
      <c r="C32" s="7">
        <v>1890</v>
      </c>
      <c r="D32">
        <v>5</v>
      </c>
      <c r="E32" s="8" t="s">
        <v>17</v>
      </c>
      <c r="F32" s="8">
        <f t="shared" si="10"/>
        <v>9450</v>
      </c>
      <c r="G32">
        <f t="shared" si="11"/>
        <v>1</v>
      </c>
    </row>
    <row r="33" spans="1:7" x14ac:dyDescent="0.3">
      <c r="A33" s="1">
        <v>44197</v>
      </c>
      <c r="B33" s="83" t="s">
        <v>122</v>
      </c>
      <c r="C33" s="7">
        <v>1890</v>
      </c>
      <c r="D33">
        <v>5</v>
      </c>
      <c r="E33" s="8" t="s">
        <v>17</v>
      </c>
      <c r="F33" s="8">
        <f t="shared" si="10"/>
        <v>9450</v>
      </c>
      <c r="G33">
        <f t="shared" si="11"/>
        <v>1</v>
      </c>
    </row>
    <row r="34" spans="1:7" x14ac:dyDescent="0.3">
      <c r="A34" s="1">
        <v>44197</v>
      </c>
      <c r="B34" s="83" t="s">
        <v>123</v>
      </c>
      <c r="C34" s="7">
        <v>550</v>
      </c>
      <c r="D34">
        <v>5</v>
      </c>
      <c r="E34" s="8" t="s">
        <v>17</v>
      </c>
      <c r="F34" s="8">
        <f t="shared" si="10"/>
        <v>2750</v>
      </c>
      <c r="G34">
        <f t="shared" si="11"/>
        <v>1</v>
      </c>
    </row>
    <row r="35" spans="1:7" x14ac:dyDescent="0.3">
      <c r="A35" s="1">
        <v>44197</v>
      </c>
      <c r="B35" t="s">
        <v>126</v>
      </c>
      <c r="C35" s="7">
        <v>7000</v>
      </c>
      <c r="D35">
        <v>6</v>
      </c>
      <c r="E35" s="8" t="s">
        <v>17</v>
      </c>
      <c r="F35" s="8">
        <f t="shared" si="10"/>
        <v>42000</v>
      </c>
      <c r="G35">
        <f t="shared" si="11"/>
        <v>1</v>
      </c>
    </row>
    <row r="36" spans="1:7" x14ac:dyDescent="0.3">
      <c r="A36" s="1">
        <v>44197</v>
      </c>
      <c r="B36" t="s">
        <v>127</v>
      </c>
      <c r="C36" s="7">
        <v>9000</v>
      </c>
      <c r="D36">
        <v>7</v>
      </c>
      <c r="E36" s="8" t="s">
        <v>17</v>
      </c>
      <c r="F36" s="8">
        <f t="shared" si="10"/>
        <v>63000</v>
      </c>
      <c r="G36">
        <f t="shared" si="11"/>
        <v>1</v>
      </c>
    </row>
    <row r="37" spans="1:7" ht="15" thickBot="1" x14ac:dyDescent="0.35">
      <c r="A37" s="1">
        <v>44197</v>
      </c>
      <c r="B37" t="s">
        <v>128</v>
      </c>
      <c r="C37" s="7">
        <v>13000</v>
      </c>
      <c r="D37">
        <v>3</v>
      </c>
      <c r="E37" s="8" t="s">
        <v>17</v>
      </c>
      <c r="F37" s="20">
        <f t="shared" si="10"/>
        <v>39000</v>
      </c>
      <c r="G37">
        <f t="shared" si="11"/>
        <v>1</v>
      </c>
    </row>
    <row r="38" spans="1:7" ht="15" thickTop="1" x14ac:dyDescent="0.3">
      <c r="A38" s="1"/>
      <c r="B38" s="11"/>
      <c r="C38" s="12"/>
      <c r="D38" s="11"/>
      <c r="E38" s="8"/>
      <c r="F38" s="8"/>
    </row>
    <row r="39" spans="1:7" x14ac:dyDescent="0.3">
      <c r="A39" s="1"/>
      <c r="B39" s="11"/>
      <c r="C39" s="12"/>
      <c r="D39" s="11"/>
      <c r="E39" s="8"/>
      <c r="F39" s="8"/>
    </row>
    <row r="40" spans="1:7" x14ac:dyDescent="0.3">
      <c r="A40" s="1"/>
      <c r="B40" s="11"/>
      <c r="C40" s="7"/>
      <c r="D40" s="11"/>
      <c r="E40" s="8"/>
      <c r="F40" s="8"/>
    </row>
    <row r="41" spans="1:7" x14ac:dyDescent="0.3">
      <c r="A41" s="1"/>
      <c r="B41" s="11"/>
      <c r="C41" s="12"/>
      <c r="D41" s="11"/>
      <c r="E41" s="8"/>
      <c r="F41" s="8"/>
    </row>
    <row r="42" spans="1:7" x14ac:dyDescent="0.3">
      <c r="A42" s="1"/>
      <c r="B42" s="11"/>
      <c r="C42" s="12"/>
      <c r="D42" s="11"/>
      <c r="E42" s="8"/>
      <c r="F42" s="8"/>
    </row>
    <row r="43" spans="1:7" x14ac:dyDescent="0.3">
      <c r="A43" s="1"/>
      <c r="B43" s="11"/>
      <c r="C43" s="12"/>
      <c r="D43" s="11"/>
      <c r="E43" s="8"/>
      <c r="F43" s="8"/>
    </row>
    <row r="44" spans="1:7" x14ac:dyDescent="0.3">
      <c r="A44" s="1"/>
      <c r="B44" s="11"/>
      <c r="C44" s="12"/>
      <c r="D44" s="11"/>
      <c r="E44" s="8"/>
      <c r="F44" s="8"/>
    </row>
    <row r="45" spans="1:7" x14ac:dyDescent="0.3">
      <c r="A45" s="1"/>
      <c r="B45" s="11"/>
      <c r="C45" s="12"/>
      <c r="D45" s="11"/>
      <c r="E45" s="8"/>
      <c r="F45" s="8"/>
    </row>
    <row r="46" spans="1:7" x14ac:dyDescent="0.3">
      <c r="A46" s="1"/>
      <c r="B46" s="11"/>
      <c r="C46" s="12"/>
      <c r="D46" s="11"/>
      <c r="E46" s="8"/>
      <c r="F46" s="8"/>
    </row>
    <row r="47" spans="1:7" x14ac:dyDescent="0.3">
      <c r="A47" s="1"/>
      <c r="B47" s="11"/>
      <c r="C47" s="7"/>
      <c r="D47" s="11"/>
      <c r="E47" s="8"/>
      <c r="F47" s="8"/>
    </row>
    <row r="48" spans="1:7" x14ac:dyDescent="0.3">
      <c r="A48" s="1"/>
      <c r="B48" s="11"/>
      <c r="C48" s="7"/>
      <c r="D48" s="11"/>
      <c r="E48" s="8"/>
      <c r="F48" s="8"/>
    </row>
    <row r="49" spans="1:6" x14ac:dyDescent="0.3">
      <c r="A49" s="1"/>
      <c r="B49" s="11"/>
      <c r="C49" s="12"/>
      <c r="D49" s="11"/>
      <c r="E49" s="8"/>
      <c r="F49" s="8"/>
    </row>
    <row r="50" spans="1:6" x14ac:dyDescent="0.3">
      <c r="A50" s="1"/>
      <c r="B50" s="11"/>
      <c r="C50" s="12"/>
      <c r="D50" s="11"/>
      <c r="E50" s="8"/>
      <c r="F50" s="8"/>
    </row>
    <row r="51" spans="1:6" x14ac:dyDescent="0.3">
      <c r="A51" s="1"/>
      <c r="B51" s="11"/>
      <c r="C51" s="12"/>
      <c r="D51" s="11"/>
      <c r="E51" s="8"/>
      <c r="F51" s="8"/>
    </row>
    <row r="52" spans="1:6" x14ac:dyDescent="0.3">
      <c r="A52" s="1"/>
      <c r="B52" s="11"/>
      <c r="C52" s="12"/>
      <c r="D52" s="11"/>
      <c r="E52" s="8"/>
      <c r="F52" s="8"/>
    </row>
    <row r="53" spans="1:6" x14ac:dyDescent="0.3">
      <c r="A53" s="1"/>
      <c r="B53" s="11"/>
      <c r="C53" s="7"/>
      <c r="D53" s="11"/>
      <c r="E53" s="8"/>
      <c r="F53" s="8"/>
    </row>
    <row r="54" spans="1:6" x14ac:dyDescent="0.3">
      <c r="A54" s="1"/>
      <c r="B54" s="11"/>
      <c r="C54" s="7"/>
      <c r="D54" s="11"/>
      <c r="E54" s="8"/>
      <c r="F54" s="8"/>
    </row>
    <row r="55" spans="1:6" x14ac:dyDescent="0.3">
      <c r="A55" s="1"/>
      <c r="B55" s="11"/>
      <c r="C55" s="12"/>
      <c r="D55" s="11"/>
      <c r="E55" s="8"/>
      <c r="F55" s="8"/>
    </row>
    <row r="56" spans="1:6" x14ac:dyDescent="0.3">
      <c r="A56" s="1"/>
      <c r="B56" s="11"/>
      <c r="C56" s="12"/>
      <c r="D56" s="11"/>
      <c r="E56" s="8"/>
      <c r="F56" s="8"/>
    </row>
    <row r="57" spans="1:6" x14ac:dyDescent="0.3">
      <c r="A57" s="1"/>
      <c r="B57" s="11"/>
      <c r="C57" s="7"/>
      <c r="D57" s="11"/>
      <c r="E57" s="8"/>
      <c r="F57" s="8"/>
    </row>
    <row r="58" spans="1:6" x14ac:dyDescent="0.3">
      <c r="A58" s="1"/>
      <c r="B58" s="11"/>
      <c r="C58" s="7"/>
      <c r="D58" s="11"/>
      <c r="E58" s="8"/>
      <c r="F58" s="8"/>
    </row>
    <row r="59" spans="1:6" x14ac:dyDescent="0.3">
      <c r="A59" s="1"/>
      <c r="B59" s="11"/>
      <c r="C59" s="12"/>
      <c r="D59" s="11"/>
      <c r="E59" s="8"/>
      <c r="F59" s="8"/>
    </row>
    <row r="60" spans="1:6" x14ac:dyDescent="0.3">
      <c r="A60" s="1"/>
      <c r="B60" s="11"/>
      <c r="C60" s="12"/>
      <c r="D60" s="11"/>
      <c r="E60" s="8"/>
      <c r="F60" s="8"/>
    </row>
    <row r="61" spans="1:6" x14ac:dyDescent="0.3">
      <c r="A61" s="1"/>
      <c r="B61" s="11"/>
      <c r="C61" s="12"/>
      <c r="D61" s="11"/>
      <c r="E61" s="8"/>
      <c r="F61" s="8"/>
    </row>
    <row r="62" spans="1:6" x14ac:dyDescent="0.3">
      <c r="A62" s="1"/>
      <c r="B62" s="11"/>
      <c r="C62" s="12"/>
      <c r="D62" s="11"/>
      <c r="E62" s="8"/>
      <c r="F62" s="8"/>
    </row>
    <row r="63" spans="1:6" x14ac:dyDescent="0.3">
      <c r="A63" s="1"/>
      <c r="B63" s="11"/>
      <c r="C63" s="12"/>
      <c r="D63" s="11"/>
      <c r="E63" s="8"/>
      <c r="F63" s="8"/>
    </row>
    <row r="64" spans="1:6" x14ac:dyDescent="0.3">
      <c r="A64" s="1"/>
      <c r="B64" s="11"/>
      <c r="C64" s="12"/>
      <c r="D64" s="11"/>
      <c r="E64" s="8"/>
      <c r="F64" s="8"/>
    </row>
    <row r="65" spans="1:6" x14ac:dyDescent="0.3">
      <c r="A65" s="1"/>
      <c r="B65" s="11"/>
      <c r="C65" s="12"/>
      <c r="D65" s="11"/>
      <c r="E65" s="8"/>
      <c r="F65" s="8"/>
    </row>
    <row r="66" spans="1:6" x14ac:dyDescent="0.3">
      <c r="A66" s="1"/>
      <c r="B66" s="11"/>
      <c r="C66" s="12"/>
      <c r="D66" s="11"/>
      <c r="E66" s="8"/>
      <c r="F66" s="8"/>
    </row>
    <row r="67" spans="1:6" x14ac:dyDescent="0.3">
      <c r="A67" s="1"/>
      <c r="B67" s="11"/>
      <c r="C67" s="12"/>
      <c r="D67" s="11"/>
      <c r="E67" s="8"/>
      <c r="F67" s="8"/>
    </row>
    <row r="68" spans="1:6" x14ac:dyDescent="0.3">
      <c r="A68" s="1"/>
      <c r="B68" s="11"/>
      <c r="C68" s="12"/>
      <c r="D68" s="11"/>
      <c r="E68" s="8"/>
      <c r="F68" s="8"/>
    </row>
    <row r="69" spans="1:6" x14ac:dyDescent="0.3">
      <c r="A69" s="1"/>
      <c r="B69" s="11"/>
      <c r="C69" s="12"/>
      <c r="D69" s="11"/>
      <c r="E69" s="8"/>
      <c r="F69" s="8"/>
    </row>
    <row r="70" spans="1:6" x14ac:dyDescent="0.3">
      <c r="A70" s="1"/>
      <c r="B70" s="11"/>
      <c r="C70" s="12"/>
      <c r="D70" s="11"/>
      <c r="E70" s="8"/>
      <c r="F70" s="8"/>
    </row>
    <row r="71" spans="1:6" x14ac:dyDescent="0.3">
      <c r="A71" s="1"/>
      <c r="B71" s="11"/>
      <c r="C71" s="12"/>
      <c r="D71" s="11"/>
      <c r="E71" s="8"/>
      <c r="F71" s="8"/>
    </row>
    <row r="72" spans="1:6" x14ac:dyDescent="0.3">
      <c r="A72" s="1"/>
      <c r="B72" s="11"/>
      <c r="C72" s="12"/>
      <c r="D72" s="11"/>
      <c r="E72" s="8"/>
      <c r="F72" s="8"/>
    </row>
    <row r="73" spans="1:6" x14ac:dyDescent="0.3">
      <c r="A73" s="1"/>
      <c r="B73" s="11"/>
      <c r="C73" s="12"/>
      <c r="D73" s="11"/>
      <c r="E73" s="8"/>
      <c r="F73" s="8"/>
    </row>
    <row r="74" spans="1:6" x14ac:dyDescent="0.3">
      <c r="A74" s="1"/>
      <c r="B74" s="11"/>
      <c r="C74" s="12"/>
      <c r="D74" s="11"/>
      <c r="E74" s="8"/>
      <c r="F74" s="8"/>
    </row>
    <row r="75" spans="1:6" x14ac:dyDescent="0.3">
      <c r="A75" s="1"/>
      <c r="B75" s="11"/>
      <c r="C75" s="12"/>
      <c r="D75" s="11"/>
      <c r="E75" s="8"/>
      <c r="F75" s="8"/>
    </row>
    <row r="76" spans="1:6" x14ac:dyDescent="0.3">
      <c r="A76" s="1"/>
      <c r="B76" s="11"/>
      <c r="C76" s="12"/>
      <c r="D76" s="11"/>
      <c r="E76" s="8"/>
      <c r="F76" s="8"/>
    </row>
    <row r="77" spans="1:6" x14ac:dyDescent="0.3">
      <c r="A77" s="1"/>
      <c r="B77" s="11"/>
      <c r="C77" s="12"/>
      <c r="D77" s="11"/>
      <c r="E77" s="8"/>
      <c r="F77" s="8"/>
    </row>
    <row r="78" spans="1:6" x14ac:dyDescent="0.3">
      <c r="A78" s="1"/>
      <c r="B78" s="11"/>
      <c r="C78" s="12"/>
      <c r="D78" s="11"/>
      <c r="E78" s="8"/>
      <c r="F78" s="8"/>
    </row>
    <row r="79" spans="1:6" x14ac:dyDescent="0.3">
      <c r="A79" s="1"/>
      <c r="B79" s="11"/>
      <c r="C79" s="12"/>
      <c r="D79" s="11"/>
      <c r="E79" s="8"/>
      <c r="F79" s="8"/>
    </row>
    <row r="80" spans="1:6" x14ac:dyDescent="0.3">
      <c r="A80" s="1"/>
      <c r="B80" s="11"/>
      <c r="C80" s="12"/>
      <c r="D80" s="11"/>
      <c r="E80" s="8"/>
      <c r="F80" s="8"/>
    </row>
    <row r="81" spans="1:8" x14ac:dyDescent="0.3">
      <c r="A81" s="1"/>
      <c r="B81" s="11"/>
      <c r="C81" s="12"/>
      <c r="D81" s="11"/>
      <c r="E81" s="8"/>
      <c r="F81" s="8"/>
    </row>
    <row r="82" spans="1:8" x14ac:dyDescent="0.3">
      <c r="A82" s="1"/>
      <c r="B82" s="11"/>
      <c r="C82" s="12"/>
      <c r="D82" s="11"/>
      <c r="E82" s="8"/>
      <c r="F82" s="8"/>
    </row>
    <row r="83" spans="1:8" x14ac:dyDescent="0.3">
      <c r="A83" s="1"/>
      <c r="B83" s="11"/>
      <c r="C83" s="12"/>
      <c r="D83" s="11"/>
      <c r="E83" s="8"/>
      <c r="F83" s="8"/>
    </row>
    <row r="84" spans="1:8" x14ac:dyDescent="0.3">
      <c r="A84" s="1"/>
      <c r="B84" s="11"/>
      <c r="C84" s="12"/>
      <c r="D84" s="11"/>
      <c r="E84" s="8"/>
      <c r="F84" s="8"/>
    </row>
    <row r="85" spans="1:8" x14ac:dyDescent="0.3">
      <c r="A85" s="1"/>
      <c r="B85" s="11"/>
      <c r="C85" s="12"/>
      <c r="D85" s="11"/>
      <c r="F85" s="8"/>
      <c r="H85" s="3"/>
    </row>
    <row r="86" spans="1:8" x14ac:dyDescent="0.3">
      <c r="A86" s="1"/>
      <c r="B86" s="11"/>
      <c r="C86" s="12"/>
      <c r="D86" s="11"/>
      <c r="F86" s="8"/>
    </row>
    <row r="87" spans="1:8" x14ac:dyDescent="0.3">
      <c r="A87" s="15"/>
      <c r="B87" s="11"/>
      <c r="C87" s="12"/>
      <c r="D87" s="11"/>
      <c r="F87" s="8"/>
    </row>
    <row r="88" spans="1:8" x14ac:dyDescent="0.3">
      <c r="A88" s="15"/>
      <c r="B88" s="11"/>
      <c r="C88" s="12"/>
      <c r="D88" s="11"/>
      <c r="F88" s="8"/>
    </row>
    <row r="89" spans="1:8" x14ac:dyDescent="0.3">
      <c r="A89" s="15"/>
      <c r="B89" s="11"/>
      <c r="C89" s="12"/>
      <c r="D89" s="11"/>
      <c r="E89" s="8"/>
    </row>
    <row r="90" spans="1:8" x14ac:dyDescent="0.3">
      <c r="A90" s="15"/>
      <c r="B90" s="11"/>
      <c r="C90" s="12"/>
      <c r="D90" s="11"/>
      <c r="E90" s="8"/>
    </row>
    <row r="91" spans="1:8" x14ac:dyDescent="0.3">
      <c r="A91" s="15"/>
      <c r="B91" s="11"/>
      <c r="C91" s="12"/>
      <c r="D91" s="11"/>
      <c r="E91" s="8"/>
    </row>
    <row r="92" spans="1:8" x14ac:dyDescent="0.3">
      <c r="A92" s="15"/>
      <c r="B92" s="11"/>
      <c r="C92" s="12"/>
      <c r="D92" s="11"/>
      <c r="E92" s="8"/>
    </row>
    <row r="93" spans="1:8" x14ac:dyDescent="0.3">
      <c r="A93" s="15"/>
      <c r="B93" s="11"/>
      <c r="C93" s="12"/>
      <c r="D93" s="11"/>
      <c r="E93" s="8"/>
    </row>
    <row r="94" spans="1:8" x14ac:dyDescent="0.3">
      <c r="A94" s="15"/>
      <c r="B94" s="11"/>
      <c r="C94" s="12"/>
      <c r="D94" s="11"/>
      <c r="E94" s="8"/>
    </row>
    <row r="95" spans="1:8" x14ac:dyDescent="0.3">
      <c r="A95" s="15"/>
      <c r="B95" s="11"/>
      <c r="C95" s="12"/>
      <c r="D95" s="11"/>
      <c r="E95" s="8"/>
    </row>
    <row r="96" spans="1:8" x14ac:dyDescent="0.3">
      <c r="A96" s="15"/>
      <c r="B96" s="11"/>
      <c r="C96" s="12"/>
      <c r="D96" s="11"/>
      <c r="E96" s="8"/>
    </row>
    <row r="97" spans="1:5" x14ac:dyDescent="0.3">
      <c r="A97" s="15"/>
      <c r="B97" s="11"/>
      <c r="C97" s="12"/>
      <c r="D97" s="11"/>
      <c r="E97" s="8"/>
    </row>
    <row r="98" spans="1:5" x14ac:dyDescent="0.3">
      <c r="A98" s="15"/>
      <c r="B98" s="11"/>
      <c r="C98" s="12"/>
      <c r="D98" s="11"/>
      <c r="E98" s="8"/>
    </row>
    <row r="99" spans="1:5" x14ac:dyDescent="0.3">
      <c r="A99" s="15"/>
      <c r="B99" s="11"/>
      <c r="C99" s="12"/>
      <c r="D99" s="11"/>
      <c r="E99" s="8"/>
    </row>
    <row r="100" spans="1:5" x14ac:dyDescent="0.3">
      <c r="A100" s="15"/>
      <c r="B100" s="11"/>
      <c r="C100" s="12"/>
      <c r="D100" s="11"/>
      <c r="E100" s="8"/>
    </row>
    <row r="101" spans="1:5" x14ac:dyDescent="0.3">
      <c r="A101" s="15"/>
      <c r="B101" s="11"/>
      <c r="C101" s="12"/>
      <c r="D101" s="11"/>
      <c r="E101" s="8"/>
    </row>
    <row r="102" spans="1:5" x14ac:dyDescent="0.3">
      <c r="A102" s="15"/>
      <c r="B102" s="11"/>
      <c r="C102" s="12"/>
      <c r="D102" s="11"/>
      <c r="E102" s="8"/>
    </row>
    <row r="103" spans="1:5" x14ac:dyDescent="0.3">
      <c r="A103" s="15"/>
      <c r="B103" s="11"/>
      <c r="C103" s="12"/>
      <c r="D103" s="11"/>
      <c r="E103" s="8"/>
    </row>
    <row r="104" spans="1:5" x14ac:dyDescent="0.3">
      <c r="A104" s="15"/>
      <c r="B104" s="11"/>
      <c r="C104" s="12"/>
      <c r="D104" s="11"/>
    </row>
    <row r="105" spans="1:5" x14ac:dyDescent="0.3">
      <c r="A105" s="15"/>
      <c r="B105" s="11"/>
      <c r="C105" s="12"/>
      <c r="D105" s="11"/>
    </row>
    <row r="106" spans="1:5" x14ac:dyDescent="0.3">
      <c r="A106" s="15"/>
      <c r="B106" s="11"/>
      <c r="C106" s="12"/>
      <c r="D106" s="11"/>
    </row>
    <row r="107" spans="1:5" x14ac:dyDescent="0.3">
      <c r="A107" s="15"/>
      <c r="B107" s="11"/>
      <c r="C107" s="12"/>
      <c r="D107" s="11"/>
    </row>
    <row r="108" spans="1:5" x14ac:dyDescent="0.3">
      <c r="A108" s="15"/>
      <c r="B108" s="11"/>
      <c r="C108" s="12"/>
      <c r="D108" s="11"/>
    </row>
    <row r="109" spans="1:5" x14ac:dyDescent="0.3">
      <c r="A109" s="15"/>
      <c r="B109" s="11"/>
      <c r="C109" s="12"/>
      <c r="D109" s="11"/>
    </row>
    <row r="110" spans="1:5" x14ac:dyDescent="0.3">
      <c r="A110" s="15"/>
      <c r="B110" s="11"/>
      <c r="C110" s="12"/>
      <c r="D110" s="11"/>
    </row>
    <row r="111" spans="1:5" x14ac:dyDescent="0.3">
      <c r="A111" s="15"/>
      <c r="B111" s="11"/>
      <c r="C111" s="12"/>
      <c r="D111" s="11"/>
    </row>
    <row r="112" spans="1:5" x14ac:dyDescent="0.3">
      <c r="A112" s="15"/>
      <c r="B112" s="11"/>
      <c r="C112" s="12"/>
      <c r="D112" s="11"/>
    </row>
    <row r="113" spans="1:4" x14ac:dyDescent="0.3">
      <c r="A113" s="15"/>
      <c r="B113" s="11"/>
      <c r="C113" s="12"/>
      <c r="D113" s="11"/>
    </row>
    <row r="114" spans="1:4" x14ac:dyDescent="0.3">
      <c r="A114" s="15"/>
      <c r="B114" s="11"/>
      <c r="C114" s="12"/>
      <c r="D114" s="11"/>
    </row>
    <row r="115" spans="1:4" x14ac:dyDescent="0.3">
      <c r="A115" s="15"/>
      <c r="B115" s="11"/>
      <c r="C115" s="12"/>
      <c r="D115" s="11"/>
    </row>
    <row r="116" spans="1:4" x14ac:dyDescent="0.3">
      <c r="A116" s="15"/>
      <c r="B116" s="11"/>
      <c r="C116" s="12"/>
      <c r="D116" s="11"/>
    </row>
    <row r="117" spans="1:4" x14ac:dyDescent="0.3">
      <c r="A117" s="15"/>
      <c r="B117" s="11"/>
      <c r="C117" s="12"/>
      <c r="D117" s="11"/>
    </row>
    <row r="118" spans="1:4" x14ac:dyDescent="0.3">
      <c r="A118" s="15"/>
      <c r="B118" s="11"/>
      <c r="C118" s="12"/>
      <c r="D118" s="11"/>
    </row>
    <row r="119" spans="1:4" x14ac:dyDescent="0.3">
      <c r="A119" s="15"/>
      <c r="B119" s="11"/>
      <c r="C119" s="12"/>
      <c r="D119" s="11"/>
    </row>
    <row r="120" spans="1:4" x14ac:dyDescent="0.3">
      <c r="A120" s="15"/>
      <c r="B120" s="11"/>
      <c r="C120" s="12"/>
      <c r="D120" s="11"/>
    </row>
    <row r="121" spans="1:4" x14ac:dyDescent="0.3">
      <c r="A121" s="15"/>
      <c r="B121" s="11"/>
      <c r="C121" s="12"/>
      <c r="D121" s="11"/>
    </row>
    <row r="122" spans="1:4" x14ac:dyDescent="0.3">
      <c r="A122" s="15"/>
      <c r="B122" s="11"/>
      <c r="C122" s="12"/>
      <c r="D122" s="11"/>
    </row>
  </sheetData>
  <autoFilter ref="A1:F37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ock_hide">
                <anchor moveWithCells="1" sizeWithCells="1">
                  <from>
                    <xdr:col>7</xdr:col>
                    <xdr:colOff>83820</xdr:colOff>
                    <xdr:row>0</xdr:row>
                    <xdr:rowOff>0</xdr:rowOff>
                  </from>
                  <to>
                    <xdr:col>8</xdr:col>
                    <xdr:colOff>670560</xdr:colOff>
                    <xdr:row>38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datatypes!$A$2:$A$5</xm:f>
          </x14:formula1>
          <xm:sqref>B56:B122</xm:sqref>
        </x14:dataValidation>
        <x14:dataValidation type="list" allowBlank="1" showInputMessage="1" showErrorMessage="1">
          <x14:formula1>
            <xm:f>datatypes!$A$2:$A$8</xm:f>
          </x14:formula1>
          <xm:sqref>B38:B55</xm:sqref>
        </x14:dataValidation>
        <x14:dataValidation type="list" allowBlank="1" showInputMessage="1" showErrorMessage="1">
          <x14:formula1>
            <xm:f>datatypes!$E$2:$E$3</xm:f>
          </x14:formula1>
          <xm:sqref>E3:E84</xm:sqref>
        </x14:dataValidation>
        <x14:dataValidation type="list" allowBlank="1" showInputMessage="1" showErrorMessage="1">
          <x14:formula1>
            <xm:f>datatypes!$A$2:$A$20</xm:f>
          </x14:formula1>
          <xm:sqref>B19:B37</xm:sqref>
        </x14:dataValidation>
        <x14:dataValidation type="list" allowBlank="1" showInputMessage="1" showErrorMessage="1">
          <x14:formula1>
            <xm:f>datatypes!$A$2:$A$28</xm:f>
          </x14:formula1>
          <xm:sqref>B4:B18</xm:sqref>
        </x14:dataValidation>
        <x14:dataValidation type="list" allowBlank="1" showInputMessage="1" showErrorMessage="1">
          <x14:formula1>
            <xm:f>datatypes!$A$2:$A$29</xm:f>
          </x14:formula1>
          <xm:sqref>B3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datatypes</vt:lpstr>
      <vt:lpstr>analitics</vt:lpstr>
      <vt:lpstr>analitics (monthly)</vt:lpstr>
      <vt:lpstr>otros</vt:lpstr>
      <vt:lpstr>Ingresos</vt:lpstr>
      <vt:lpstr>MES</vt:lpstr>
      <vt:lpstr>Comercial</vt:lpstr>
      <vt:lpstr>Finanzas</vt:lpstr>
      <vt:lpstr>Income</vt:lpstr>
      <vt:lpstr>Stock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Camila</dc:creator>
  <cp:lastModifiedBy>Braulio Castelblanco Castro</cp:lastModifiedBy>
  <cp:lastPrinted>2020-07-03T23:40:50Z</cp:lastPrinted>
  <dcterms:created xsi:type="dcterms:W3CDTF">2020-04-30T17:09:12Z</dcterms:created>
  <dcterms:modified xsi:type="dcterms:W3CDTF">2021-02-22T19:12:42Z</dcterms:modified>
</cp:coreProperties>
</file>